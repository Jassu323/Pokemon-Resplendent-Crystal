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172.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83.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180.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76.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17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74.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7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185.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75.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18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173.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Animations" sheetId="5" r:id="rId9"/>
    <sheet state="visible" name="Moves" sheetId="6" r:id="rId10"/>
    <sheet state="visible" name="Abilities" sheetId="7" r:id="rId11"/>
    <sheet state="visible" name="#1 - Bulbasaur" sheetId="8" r:id="rId12"/>
    <sheet state="visible" name="#2 - Ivysaur" sheetId="9" r:id="rId13"/>
    <sheet state="visible" name="#3 - Venusaur" sheetId="10" r:id="rId14"/>
    <sheet state="visible" name="#4 - Charmander" sheetId="11" r:id="rId15"/>
    <sheet state="visible" name="#5 - Charmeleon" sheetId="12" r:id="rId16"/>
    <sheet state="visible" name="#6 - Charizard" sheetId="13" r:id="rId17"/>
    <sheet state="visible" name="#7 - Squirtle" sheetId="14" r:id="rId18"/>
    <sheet state="visible" name="#8 - Wartortle" sheetId="15" r:id="rId19"/>
    <sheet state="visible" name="#9 - Blastoise" sheetId="16" r:id="rId20"/>
    <sheet state="visible" name="#10 - Caterpie" sheetId="17" r:id="rId21"/>
    <sheet state="visible" name="#11 - Metapod" sheetId="18" r:id="rId22"/>
    <sheet state="visible" name="#12 - Butterfree" sheetId="19" r:id="rId23"/>
    <sheet state="visible" name="#13 - Weedle" sheetId="20" r:id="rId24"/>
    <sheet state="visible" name="#14 - Kakuna" sheetId="21" r:id="rId25"/>
    <sheet state="visible" name="#15 - Beedrill" sheetId="22" r:id="rId26"/>
    <sheet state="visible" name="#16 - Pidgey" sheetId="23" r:id="rId27"/>
    <sheet state="visible" name="#17 - Pidgeotto" sheetId="24" r:id="rId28"/>
    <sheet state="visible" name="#18 - Pidgeot" sheetId="25" r:id="rId29"/>
    <sheet state="visible" name="#19 - Rattata" sheetId="26" r:id="rId30"/>
    <sheet state="visible" name="#20 - Raticate" sheetId="27" r:id="rId31"/>
    <sheet state="visible" name="#27 - Sandshrew" sheetId="28" r:id="rId32"/>
    <sheet state="visible" name="#28 - Sandslash" sheetId="29" r:id="rId33"/>
    <sheet state="visible" name="#29 - Nidoran (F)" sheetId="30" r:id="rId34"/>
    <sheet state="visible" name="#30 - Nidorina" sheetId="31" r:id="rId35"/>
    <sheet state="visible" name="#31 - Nidoqueen" sheetId="32" r:id="rId36"/>
    <sheet state="visible" name="#32 - Nidoran (M)" sheetId="33" r:id="rId37"/>
    <sheet state="visible" name="#33 - Nidorino" sheetId="34" r:id="rId38"/>
    <sheet state="visible" name="#34 - Nidoking" sheetId="35" r:id="rId39"/>
    <sheet state="visible" name="#37 - Vulpix" sheetId="36" r:id="rId40"/>
    <sheet state="visible" name="#38 - Ninetales" sheetId="37" r:id="rId41"/>
    <sheet state="visible" name="#41 - Zubat" sheetId="38" r:id="rId42"/>
    <sheet state="visible" name="#42 - Golbat" sheetId="39" r:id="rId43"/>
    <sheet state="visible" name="#169 - Crobat" sheetId="40" r:id="rId44"/>
    <sheet state="visible" name="#54 - Psyduck" sheetId="41" r:id="rId45"/>
    <sheet state="visible" name="#55 - Golduck" sheetId="42" r:id="rId46"/>
    <sheet state="visible" name="#56 - Mankey" sheetId="43" r:id="rId47"/>
    <sheet state="visible" name="#57 - Primeape" sheetId="44" r:id="rId48"/>
    <sheet state="visible" name="#58 - Growlithe" sheetId="45" r:id="rId49"/>
    <sheet state="visible" name="#59 - Arcanine" sheetId="46" r:id="rId50"/>
    <sheet state="visible" name="#60 - Poliwag" sheetId="47" r:id="rId51"/>
    <sheet state="visible" name="#61 - Poliwhirl" sheetId="48" r:id="rId52"/>
    <sheet state="visible" name="#62 - Poliwrath" sheetId="49" r:id="rId53"/>
    <sheet state="visible" name="#66 - Machop" sheetId="50" r:id="rId54"/>
    <sheet state="visible" name="#67 - Machoke" sheetId="51" r:id="rId55"/>
    <sheet state="visible" name="#68 - Machamp" sheetId="52" r:id="rId56"/>
    <sheet state="visible" name="#69 - Bellsprout" sheetId="53" r:id="rId57"/>
    <sheet state="visible" name="#70 - Weepinbell" sheetId="54" r:id="rId58"/>
    <sheet state="visible" name="#71 - Victreebel" sheetId="55" r:id="rId59"/>
    <sheet state="visible" name="#72 - Tentacool" sheetId="56" r:id="rId60"/>
    <sheet state="visible" name="#73 - Tentacruel" sheetId="57" r:id="rId61"/>
    <sheet state="visible" name="#74 - Geodude" sheetId="58" r:id="rId62"/>
    <sheet state="visible" name="#75 - Graveler" sheetId="59" r:id="rId63"/>
    <sheet state="visible" name="#76 - Golem" sheetId="60" r:id="rId64"/>
    <sheet state="visible" name="#77 - Ponyta" sheetId="61" r:id="rId65"/>
    <sheet state="visible" name="#78 - Rapidash" sheetId="62" r:id="rId66"/>
    <sheet state="visible" name="#81 - Magnemite" sheetId="63" r:id="rId67"/>
    <sheet state="visible" name="#82 - Magneton" sheetId="64" r:id="rId68"/>
    <sheet state="visible" name="#462 - Magnezone" sheetId="65" r:id="rId69"/>
    <sheet state="visible" name="#90 - Shellder" sheetId="66" r:id="rId70"/>
    <sheet state="visible" name="#91 - Cloyster" sheetId="67" r:id="rId71"/>
    <sheet state="visible" name="#95 - Onix" sheetId="68" r:id="rId72"/>
    <sheet state="visible" name="#98 - Krabby" sheetId="69" r:id="rId73"/>
    <sheet state="visible" name="#99 - Kingler" sheetId="70" r:id="rId74"/>
    <sheet state="visible" name="#102 - Exeggcute" sheetId="71" r:id="rId75"/>
    <sheet state="visible" name="#103 - Exeggutor" sheetId="72" r:id="rId76"/>
    <sheet state="visible" name="#104 - Cubone" sheetId="73" r:id="rId77"/>
    <sheet state="visible" name="#105 - Marowak" sheetId="74" r:id="rId78"/>
    <sheet state="visible" name="#114 - Tangela" sheetId="75" r:id="rId79"/>
    <sheet state="visible" name="#465 - Tangrowth" sheetId="76" r:id="rId80"/>
    <sheet state="visible" name="#116 - Horsea" sheetId="77" r:id="rId81"/>
    <sheet state="visible" name="#117 - Seadra" sheetId="78" r:id="rId82"/>
    <sheet state="visible" name="#230 - Kingdra" sheetId="79" r:id="rId83"/>
    <sheet state="visible" name="#120 - Staryu" sheetId="80" r:id="rId84"/>
    <sheet state="visible" name="#121 - Starmie" sheetId="81" r:id="rId85"/>
    <sheet state="visible" name="#123 - Scyther" sheetId="82" r:id="rId86"/>
    <sheet state="visible" name="#212 - Scizor" sheetId="83" r:id="rId87"/>
    <sheet state="visible" name="#127 - Pinsir" sheetId="84" r:id="rId88"/>
    <sheet state="visible" name="#129 - Magikarp" sheetId="85" r:id="rId89"/>
    <sheet state="visible" name="#130 - Gyarados" sheetId="86" r:id="rId90"/>
    <sheet state="visible" name="#131 - Lapras" sheetId="87" r:id="rId91"/>
    <sheet state="visible" name="#133 - Eevee" sheetId="88" r:id="rId92"/>
    <sheet state="visible" name="#134 - Vaporeon" sheetId="89" r:id="rId93"/>
    <sheet state="visible" name="#135 - Jolteon" sheetId="90" r:id="rId94"/>
    <sheet state="visible" name="#136 - Flareon" sheetId="91" r:id="rId95"/>
    <sheet state="visible" name="#196 - Espeon" sheetId="92" r:id="rId96"/>
    <sheet state="visible" name="#197 - Umbreon" sheetId="93" r:id="rId97"/>
    <sheet state="visible" name="#470 - Leafeon" sheetId="94" r:id="rId98"/>
    <sheet state="visible" name="#471 - Glaceon" sheetId="95" r:id="rId99"/>
    <sheet state="visible" name="#700 - Sylveon" sheetId="96" r:id="rId100"/>
    <sheet state="visible" name="#138 - Omanyte" sheetId="97" r:id="rId101"/>
    <sheet state="visible" name="#139 - Omastar" sheetId="98" r:id="rId102"/>
    <sheet state="visible" name="#140 - Kabuto" sheetId="99" r:id="rId103"/>
    <sheet state="visible" name="#141 - Kabutops" sheetId="100" r:id="rId104"/>
    <sheet state="visible" name="#147 - Dratini" sheetId="101" r:id="rId105"/>
    <sheet state="visible" name="#148 - Dragonair" sheetId="102" r:id="rId106"/>
    <sheet state="visible" name="#149 - Dragonite" sheetId="103" r:id="rId107"/>
    <sheet state="visible" name="#152 - Chikorita" sheetId="104" r:id="rId108"/>
    <sheet state="visible" name="#153 - Bayleef" sheetId="105" r:id="rId109"/>
    <sheet state="visible" name="#154 - Meganium" sheetId="106" r:id="rId110"/>
    <sheet state="visible" name="#155 - Cyndaquil" sheetId="107" r:id="rId111"/>
    <sheet state="visible" name="#156 - Quilava" sheetId="108" r:id="rId112"/>
    <sheet state="visible" name="#157 - Typhlosion" sheetId="109" r:id="rId113"/>
    <sheet state="visible" name="#158 - Totodile" sheetId="110" r:id="rId114"/>
    <sheet state="visible" name="#159 - Croconaw" sheetId="111" r:id="rId115"/>
    <sheet state="visible" name="#160 - Feraligatr" sheetId="112" r:id="rId116"/>
    <sheet state="visible" name="#161 - Sentret" sheetId="113" r:id="rId117"/>
    <sheet state="visible" name="#162 - Furret" sheetId="114" r:id="rId118"/>
    <sheet state="visible" name="#163 - Hoothoot" sheetId="115" r:id="rId119"/>
    <sheet state="visible" name="#164 - Noctowl" sheetId="116" r:id="rId120"/>
    <sheet state="visible" name="#165 - Ledyba" sheetId="117" r:id="rId121"/>
    <sheet state="visible" name="#166 - Ledian" sheetId="118" r:id="rId122"/>
    <sheet state="visible" name="#167 - Spinarak" sheetId="119" r:id="rId123"/>
    <sheet state="visible" name="#168 - Ariados" sheetId="120" r:id="rId124"/>
    <sheet state="visible" name="#179 - Mareep" sheetId="121" r:id="rId125"/>
    <sheet state="visible" name="#180 - Flaaffy" sheetId="122" r:id="rId126"/>
    <sheet state="visible" name="#181 - Ampharos" sheetId="123" r:id="rId127"/>
    <sheet state="visible" name="#187 - Hoppip" sheetId="124" r:id="rId128"/>
    <sheet state="visible" name="#188 - Skiploom" sheetId="125" r:id="rId129"/>
    <sheet state="visible" name="#189 - Jumpluff" sheetId="126" r:id="rId130"/>
    <sheet state="visible" name="#194 - Wooper" sheetId="127" r:id="rId131"/>
    <sheet state="visible" name="#195 - Quagsire" sheetId="128" r:id="rId132"/>
    <sheet state="visible" name="#214 - Heracross" sheetId="129" r:id="rId133"/>
    <sheet state="visible" name="#215 - Sneasel" sheetId="130" r:id="rId134"/>
    <sheet state="visible" name="#461 - Weavile" sheetId="131" r:id="rId135"/>
    <sheet state="visible" name="#220 - Swinub" sheetId="132" r:id="rId136"/>
    <sheet state="visible" name="#221 - Piloswine" sheetId="133" r:id="rId137"/>
    <sheet state="visible" name="#473 - Mamoswine" sheetId="134" r:id="rId138"/>
    <sheet state="visible" name="#227 - Skarmory" sheetId="135" r:id="rId139"/>
    <sheet state="visible" name="#231 - Phanpy" sheetId="136" r:id="rId140"/>
    <sheet state="visible" name="#232 - Donphan" sheetId="137" r:id="rId141"/>
    <sheet state="visible" name="#246 - Larvitar" sheetId="138" r:id="rId142"/>
    <sheet state="visible" name="#247 - Pupitar" sheetId="139" r:id="rId143"/>
    <sheet state="visible" name="#248 - Tyranitar" sheetId="140" r:id="rId144"/>
    <sheet state="visible" name="#252 - Treecko" sheetId="141" r:id="rId145"/>
    <sheet state="visible" name="#253 - Grovyle" sheetId="142" r:id="rId146"/>
    <sheet state="visible" name="#254 - Sceptile" sheetId="143" r:id="rId147"/>
    <sheet state="visible" name="#255 - Torchic" sheetId="144" r:id="rId148"/>
    <sheet state="visible" name="#256 - Combusken" sheetId="145" r:id="rId149"/>
    <sheet state="visible" name="#257 - Blaziken" sheetId="146" r:id="rId150"/>
    <sheet state="visible" name="#258 - Mudkip" sheetId="147" r:id="rId151"/>
    <sheet state="visible" name="#259 - Marshtomp" sheetId="148" r:id="rId152"/>
    <sheet state="visible" name="#260 - Swampert" sheetId="149" r:id="rId153"/>
    <sheet state="visible" name="#276 - Taillow" sheetId="150" r:id="rId154"/>
    <sheet state="visible" name="#277 - Swellow" sheetId="151" r:id="rId155"/>
    <sheet state="visible" name="#278 - Wingull" sheetId="152" r:id="rId156"/>
    <sheet state="visible" name="#279 - Pelipper" sheetId="153" r:id="rId157"/>
    <sheet state="visible" name="#280 - Ralts" sheetId="154" r:id="rId158"/>
    <sheet state="visible" name="#281 - Kirlia" sheetId="155" r:id="rId159"/>
    <sheet state="visible" name="#282 - Gardevoir" sheetId="156" r:id="rId160"/>
    <sheet state="visible" name="#475 - Gallade" sheetId="157" r:id="rId161"/>
    <sheet state="visible" name="#296 - Makuhita" sheetId="158" r:id="rId162"/>
    <sheet state="visible" name="#297 - Hariyama" sheetId="159" r:id="rId163"/>
    <sheet state="visible" name="#299 - Nosepass" sheetId="160" r:id="rId164"/>
    <sheet state="visible" name="#304 - Aron" sheetId="161" r:id="rId165"/>
    <sheet state="visible" name="#305 - Lairon" sheetId="162" r:id="rId166"/>
    <sheet state="visible" name="#306 - Aggron" sheetId="163" r:id="rId167"/>
    <sheet state="visible" name="#324 - Torkoal" sheetId="164" r:id="rId168"/>
    <sheet state="visible" name="#328 - Trapinch" sheetId="165" r:id="rId169"/>
    <sheet state="visible" name="#329 - Vibrava" sheetId="166" r:id="rId170"/>
    <sheet state="visible" name="#330 - Flygon" sheetId="167" r:id="rId171"/>
    <sheet state="visible" name="#333 - Swablu" sheetId="168" r:id="rId172"/>
    <sheet state="visible" name="#334 - Altaria" sheetId="169" r:id="rId173"/>
    <sheet state="visible" name="#345 - Lileep" sheetId="170" r:id="rId174"/>
    <sheet state="visible" name="#346 - Cradily" sheetId="171" r:id="rId175"/>
    <sheet state="visible" name="#349 - Feebas" sheetId="172" r:id="rId176"/>
    <sheet state="visible" name="#350 - Milotic" sheetId="173" r:id="rId177"/>
    <sheet state="visible" name="#371 - Bagon" sheetId="174" r:id="rId178"/>
    <sheet state="visible" name="#372 - Shelgon" sheetId="175" r:id="rId179"/>
    <sheet state="visible" name="#373 - Salamence" sheetId="176" r:id="rId180"/>
    <sheet state="visible" name="#374 - Beldum" sheetId="177" r:id="rId181"/>
    <sheet state="visible" name="#375 - Metang" sheetId="178" r:id="rId182"/>
    <sheet state="visible" name="#376 - Metagross" sheetId="179" r:id="rId183"/>
    <sheet state="visible" name="#403 - Shinx" sheetId="180" r:id="rId184"/>
    <sheet state="visible" name="#404 - Luxio" sheetId="181" r:id="rId185"/>
    <sheet state="visible" name="#405 - Luxray" sheetId="182" r:id="rId186"/>
    <sheet state="visible" name="#443 - Gible" sheetId="183" r:id="rId187"/>
    <sheet state="visible" name="#444 - Gabite" sheetId="184" r:id="rId188"/>
    <sheet state="visible" name="#445 - Garchomp" sheetId="185" r:id="rId189"/>
    <sheet state="visible" name="#447 - Riolu" sheetId="186" r:id="rId190"/>
    <sheet state="visible" name="#448 - Lucario" sheetId="187" r:id="rId191"/>
  </sheets>
  <definedNames>
    <definedName hidden="1" localSheetId="5" name="_xlnm._FilterDatabase">Moves!$A$1:$I$349</definedName>
  </definedNames>
  <calcPr/>
</workbook>
</file>

<file path=xl/sharedStrings.xml><?xml version="1.0" encoding="utf-8"?>
<sst xmlns="http://schemas.openxmlformats.org/spreadsheetml/2006/main" count="19193" uniqueCount="1224">
  <si>
    <t>Category</t>
  </si>
  <si>
    <t>Principle</t>
  </si>
  <si>
    <t>Guidance</t>
  </si>
  <si>
    <t>Design</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</si>
  <si>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</si>
  <si>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</si>
  <si>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</si>
  <si>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</si>
  <si>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</si>
  <si>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</si>
  <si>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</si>
  <si>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</si>
  <si>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</si>
  <si>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</si>
  <si>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</si>
  <si>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</si>
  <si>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</si>
  <si>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</si>
  <si>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</si>
  <si>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</si>
  <si>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</si>
  <si>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</si>
  <si>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</si>
  <si>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</si>
  <si>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</si>
  <si>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</si>
  <si>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Underlying balance ethos</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</si>
  <si>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</si>
  <si>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</si>
  <si>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</si>
  <si>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</si>
  <si>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</si>
  <si>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</si>
  <si>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</si>
  <si>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</si>
  <si>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</si>
  <si>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</si>
  <si>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</si>
  <si>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</si>
  <si>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</si>
  <si>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</si>
  <si>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</si>
  <si>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</si>
  <si>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After each major change, save a local copy of the workbook to ensure backup availability in the event of unforeseen issue with online copy.  Keep no more than 10 most recent iterations.</t>
  </si>
  <si>
    <t>Type</t>
  </si>
  <si>
    <t>Bug (Def)</t>
  </si>
  <si>
    <t>Dark (Def)</t>
  </si>
  <si>
    <t>Dragon (Def)</t>
  </si>
  <si>
    <t>Electric (Def)</t>
  </si>
  <si>
    <t>Bug</t>
  </si>
  <si>
    <t>Fairy (Def)</t>
  </si>
  <si>
    <t>Fighting (Def)</t>
  </si>
  <si>
    <t>Fire (Def)</t>
  </si>
  <si>
    <t>Flying (Def)</t>
  </si>
  <si>
    <t>Physical</t>
  </si>
  <si>
    <t>Ghost (Def)</t>
  </si>
  <si>
    <t>Grass (Def)</t>
  </si>
  <si>
    <t>Dark</t>
  </si>
  <si>
    <t>Ground (Def)</t>
  </si>
  <si>
    <t>Ice (Def)</t>
  </si>
  <si>
    <t>Normal (Def)</t>
  </si>
  <si>
    <t>Poison (Def)</t>
  </si>
  <si>
    <t>Dragon</t>
  </si>
  <si>
    <t>Psychic (Def)</t>
  </si>
  <si>
    <t>Rock (Def)</t>
  </si>
  <si>
    <t>Special</t>
  </si>
  <si>
    <t>Steel (Def)</t>
  </si>
  <si>
    <t>Water (Def)</t>
  </si>
  <si>
    <t>Electric</t>
  </si>
  <si>
    <t>Fairy</t>
  </si>
  <si>
    <t>Fighting</t>
  </si>
  <si>
    <t>Bug (Attack)</t>
  </si>
  <si>
    <t>Fire</t>
  </si>
  <si>
    <t>Flying</t>
  </si>
  <si>
    <t>Ghost</t>
  </si>
  <si>
    <t>Grass</t>
  </si>
  <si>
    <t>Ground</t>
  </si>
  <si>
    <t>Ice</t>
  </si>
  <si>
    <t>Normal</t>
  </si>
  <si>
    <t>Dark (Attack)</t>
  </si>
  <si>
    <t>Poison</t>
  </si>
  <si>
    <t>Psychic</t>
  </si>
  <si>
    <t>Rock</t>
  </si>
  <si>
    <t>Steel</t>
  </si>
  <si>
    <t>Dragon (Attack)</t>
  </si>
  <si>
    <t>Water</t>
  </si>
  <si>
    <t>Electric (Attack)</t>
  </si>
  <si>
    <t>Fairy (Attack)</t>
  </si>
  <si>
    <t>Fighting (Attack)</t>
  </si>
  <si>
    <t>Fire (Attack)</t>
  </si>
  <si>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</si>
  <si>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</si>
  <si>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</si>
  <si>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</si>
  <si>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</si>
  <si>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</si>
  <si>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</si>
  <si>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</si>
  <si>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</si>
  <si>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</si>
  <si>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</si>
  <si>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</si>
  <si>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</si>
  <si>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</si>
  <si>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</si>
  <si>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</si>
  <si>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</si>
  <si>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</si>
  <si>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Dex Number</t>
  </si>
  <si>
    <t>Pokemon</t>
  </si>
  <si>
    <t>Type 1</t>
  </si>
  <si>
    <t>Type 2</t>
  </si>
  <si>
    <t>Reviewed?</t>
  </si>
  <si>
    <t>Location 1</t>
  </si>
  <si>
    <t>Location 2</t>
  </si>
  <si>
    <t>Location 3</t>
  </si>
  <si>
    <t>Location 4</t>
  </si>
  <si>
    <t>Location 5</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</si>
  <si>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</si>
  <si>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</si>
  <si>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</si>
  <si>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</si>
  <si>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</si>
  <si>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</si>
  <si>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</si>
  <si>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</si>
  <si>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</si>
  <si>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</si>
  <si>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</si>
  <si>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</si>
  <si>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</si>
  <si>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</si>
  <si>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</si>
  <si>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</si>
  <si>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</si>
  <si>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</si>
  <si>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</si>
  <si>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</si>
  <si>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</si>
  <si>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</si>
  <si>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</si>
  <si>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</si>
  <si>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</si>
  <si>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</si>
  <si>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</si>
  <si>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</si>
  <si>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</si>
  <si>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</si>
  <si>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</si>
  <si>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</si>
  <si>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</si>
  <si>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</si>
  <si>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</si>
  <si>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</si>
  <si>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</si>
  <si>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</si>
  <si>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</si>
  <si>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</si>
  <si>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</si>
  <si>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</si>
  <si>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</si>
  <si>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</si>
  <si>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</si>
  <si>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</si>
  <si>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</si>
  <si>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</si>
  <si>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</si>
  <si>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</si>
  <si>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</si>
  <si>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</si>
  <si>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</si>
  <si>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</si>
  <si>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</si>
  <si>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</si>
  <si>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</si>
  <si>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Ace</t>
  </si>
  <si>
    <t>Aerial Crash</t>
  </si>
  <si>
    <t>Air Cutter</t>
  </si>
  <si>
    <t>Dive Bomb</t>
  </si>
  <si>
    <t>Pluck</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</si>
  <si>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</si>
  <si>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</si>
  <si>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</si>
  <si>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</si>
  <si>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</si>
  <si>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</si>
  <si>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</si>
  <si>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</si>
  <si>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</si>
  <si>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</si>
  <si>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</si>
  <si>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</si>
  <si>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</si>
  <si>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</si>
  <si>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</si>
  <si>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</si>
  <si>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</si>
  <si>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</si>
  <si>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</si>
  <si>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</si>
  <si>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</si>
  <si>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</si>
  <si>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</si>
  <si>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</si>
  <si>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</si>
  <si>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</si>
  <si>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</si>
  <si>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</si>
  <si>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</si>
  <si>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</si>
  <si>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</si>
  <si>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</si>
  <si>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</si>
  <si>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</si>
  <si>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Fake Out</t>
  </si>
  <si>
    <t>Howl</t>
  </si>
  <si>
    <t>Hyper Fang</t>
  </si>
  <si>
    <t>Stat Down</t>
  </si>
  <si>
    <t>N/A</t>
  </si>
  <si>
    <t>Stat Up</t>
  </si>
  <si>
    <t>Yawn</t>
  </si>
  <si>
    <t>Acid</t>
  </si>
  <si>
    <t>Caustic</t>
  </si>
  <si>
    <t>Corrosion</t>
  </si>
  <si>
    <t>Poison (status)</t>
  </si>
  <si>
    <t>Poison Fang</t>
  </si>
  <si>
    <t>Poison Gas</t>
  </si>
  <si>
    <t>Poison Jab</t>
  </si>
  <si>
    <t>Poison Sting</t>
  </si>
  <si>
    <t>Power</t>
  </si>
  <si>
    <t>Accuracy</t>
  </si>
  <si>
    <t>Poison Tail</t>
  </si>
  <si>
    <t>PP</t>
  </si>
  <si>
    <t>PoisonPowder</t>
  </si>
  <si>
    <t>Effect</t>
  </si>
  <si>
    <t>Sludge</t>
  </si>
  <si>
    <t>Sludge Bomb</t>
  </si>
  <si>
    <t>Sludge Wave</t>
  </si>
  <si>
    <t>Toxic</t>
  </si>
  <si>
    <t>Eats target's berry</t>
  </si>
  <si>
    <t>Calm Mind</t>
  </si>
  <si>
    <t>Bug Buzz</t>
  </si>
  <si>
    <t>20% chance to lower target's Defense</t>
  </si>
  <si>
    <t>Buzz</t>
  </si>
  <si>
    <t>Extrasensory</t>
  </si>
  <si>
    <t>Rock Blast</t>
  </si>
  <si>
    <t>Rock Tomb</t>
  </si>
  <si>
    <t>Stone Edge</t>
  </si>
  <si>
    <t>Restores 50% of damage as health</t>
  </si>
  <si>
    <t>Bullet Punch</t>
  </si>
  <si>
    <t>Fury Cutter</t>
  </si>
  <si>
    <t>Doubles in power each turn it's used</t>
  </si>
  <si>
    <t>Leech Life</t>
  </si>
  <si>
    <t>Heavy Slam</t>
  </si>
  <si>
    <t>Iron Defense</t>
  </si>
  <si>
    <t>Megahorn</t>
  </si>
  <si>
    <t>Meteor Mash</t>
  </si>
  <si>
    <t>Hydro Pump</t>
  </si>
  <si>
    <t>Pin Missile</t>
  </si>
  <si>
    <t>Water Pulse</t>
  </si>
  <si>
    <t>Hits 3-5 times, 25/50/25%</t>
  </si>
  <si>
    <t>Waterfall</t>
  </si>
  <si>
    <t>20% chance to Confuse target</t>
  </si>
  <si>
    <t>Hyper Voice</t>
  </si>
  <si>
    <t>20% chance to boost Attack by 1 stage</t>
  </si>
  <si>
    <t>Discharge</t>
  </si>
  <si>
    <t>Spider Web</t>
  </si>
  <si>
    <t>-</t>
  </si>
  <si>
    <t>Petal Storm</t>
  </si>
  <si>
    <t>Blocks the foe from switching/fleeing</t>
  </si>
  <si>
    <t>String Shot</t>
  </si>
  <si>
    <t>Healing Wish</t>
  </si>
  <si>
    <t>Lowers target's speed by one stage</t>
  </si>
  <si>
    <t>Hits twice, 40% chance of poisoning</t>
  </si>
  <si>
    <t>Feather Dance</t>
  </si>
  <si>
    <t>Beat Up</t>
  </si>
  <si>
    <t>Razor Wind</t>
  </si>
  <si>
    <t>30% chance to lower foe's Defense by 1 stage</t>
  </si>
  <si>
    <t>Ominous Wind</t>
  </si>
  <si>
    <t>Bite</t>
  </si>
  <si>
    <t>20% chance to Flinch foe</t>
  </si>
  <si>
    <t>Seed Bomb</t>
  </si>
  <si>
    <t>Cheap Shot</t>
  </si>
  <si>
    <t>Lowers the target's Attack by 1 stage</t>
  </si>
  <si>
    <t>Power Whip</t>
  </si>
  <si>
    <t>Crunch</t>
  </si>
  <si>
    <t>Dragon Pulse</t>
  </si>
  <si>
    <t>Feint Attack</t>
  </si>
  <si>
    <t>Bypasses accuracy check</t>
  </si>
  <si>
    <t>Hone Claws</t>
  </si>
  <si>
    <t>Boosts Attack and Accuracy by 1 stage each</t>
  </si>
  <si>
    <t>Knock Off</t>
  </si>
  <si>
    <t>Renders foe's item unusable for the battle</t>
  </si>
  <si>
    <t>Mean Look</t>
  </si>
  <si>
    <t>Steel Smash</t>
  </si>
  <si>
    <t>Traps the foe until the user switches out or faints</t>
  </si>
  <si>
    <t>Moonlight</t>
  </si>
  <si>
    <t>Heals 1/2 health, 1/4 in Sun</t>
  </si>
  <si>
    <t>Increased chance to crit</t>
  </si>
  <si>
    <t>Octazooka</t>
  </si>
  <si>
    <t>30% chance to lower foe's Accuracy 1 stage</t>
  </si>
  <si>
    <t>Pursuit</t>
  </si>
  <si>
    <t>Power doubles if foe switches</t>
  </si>
  <si>
    <t>Priority +1 only when foe uses attacking move</t>
  </si>
  <si>
    <t>Prevents foe from using status moves for 3-5 turns</t>
  </si>
  <si>
    <t>Sacred Sword</t>
  </si>
  <si>
    <t>Thief</t>
  </si>
  <si>
    <t>Steals foe's item</t>
  </si>
  <si>
    <t>Boosts Atk and Speed by 1 stage each</t>
  </si>
  <si>
    <t>Worry Seed</t>
  </si>
  <si>
    <t>10% chance to lower foe's SpA</t>
  </si>
  <si>
    <t>Tailwind</t>
  </si>
  <si>
    <t>30% chance to Burn foe</t>
  </si>
  <si>
    <t>20% chance to Paralyze foe</t>
  </si>
  <si>
    <t>Iron Head</t>
  </si>
  <si>
    <t>Locked for 2-3 turns then Confused afterwards</t>
  </si>
  <si>
    <t>Twister</t>
  </si>
  <si>
    <t>Aqua Tail</t>
  </si>
  <si>
    <t>20% chance to Flinch; Gust effect</t>
  </si>
  <si>
    <t>Water Volley</t>
  </si>
  <si>
    <t>Charge</t>
  </si>
  <si>
    <t>Boosts next Electric move by 50%; SpD by 1 stage</t>
  </si>
  <si>
    <t>Muddy Water</t>
  </si>
  <si>
    <t>30% chance to Paralyze foe</t>
  </si>
  <si>
    <t>Magnet Rise</t>
  </si>
  <si>
    <t>Venom Impact</t>
  </si>
  <si>
    <t>User becomes immune to Ground for 6 turns</t>
  </si>
  <si>
    <t>Astonish</t>
  </si>
  <si>
    <t>Venom Fang</t>
  </si>
  <si>
    <t>Toxic Spikes</t>
  </si>
  <si>
    <t>10% chance to Paralyze and 10% chance to Flinch foe</t>
  </si>
  <si>
    <t>Toxic Thread</t>
  </si>
  <si>
    <t>Thunder Wave</t>
  </si>
  <si>
    <t>Paralyzes foe</t>
  </si>
  <si>
    <t>10% chance to Paralyze foe</t>
  </si>
  <si>
    <t>Causes 1/3 damage dealt as recoil</t>
  </si>
  <si>
    <t>Causes 1/4 damage dealt as recoil</t>
  </si>
  <si>
    <t>Zap Cannon</t>
  </si>
  <si>
    <t>Attract</t>
  </si>
  <si>
    <t>Infatuates the target if opposite gender</t>
  </si>
  <si>
    <t>Charm</t>
  </si>
  <si>
    <t>Lowers foe's Atk by 2 stages</t>
  </si>
  <si>
    <t>Hits both targets in doubles</t>
  </si>
  <si>
    <t>Bypasses accuracy check.</t>
  </si>
  <si>
    <t>Draining Kiss</t>
  </si>
  <si>
    <t>Restores 75% of damage as health</t>
  </si>
  <si>
    <t>Lovely Kiss</t>
  </si>
  <si>
    <t>Sleeps foe</t>
  </si>
  <si>
    <t>20% chance of lowering foe's SpA 1 stage</t>
  </si>
  <si>
    <t>Restores the recipient's HP equal to 50% of the original user's HP</t>
  </si>
  <si>
    <t>Hits 3-5 times, trending towards 4</t>
  </si>
  <si>
    <t>Aura Sphere</t>
  </si>
  <si>
    <t>Special attack.  Bypasses accuracy check.</t>
  </si>
  <si>
    <t>Removes Reflect and Light Screen</t>
  </si>
  <si>
    <t>Increases Attack and Defense by 1 stage each</t>
  </si>
  <si>
    <t>Circle Throw</t>
  </si>
  <si>
    <t>Lowest priority, forces foe out</t>
  </si>
  <si>
    <t>Counter</t>
  </si>
  <si>
    <t>Doubles damage of Physical move against user</t>
  </si>
  <si>
    <t>Cross Chop</t>
  </si>
  <si>
    <t>Detect</t>
  </si>
  <si>
    <t>Evades next attack.  May fail on successive usage</t>
  </si>
  <si>
    <t>Double Kick</t>
  </si>
  <si>
    <t>Hits twice</t>
  </si>
  <si>
    <t>DynamicPunch</t>
  </si>
  <si>
    <t>Confuses the foe</t>
  </si>
  <si>
    <t>Priority -3; if damage received, focus lost and move fails.</t>
  </si>
  <si>
    <t>Hi Jump Kick</t>
  </si>
  <si>
    <t>Crash damage if attack fails to land</t>
  </si>
  <si>
    <t>Jump Kick</t>
  </si>
  <si>
    <t>Karate Chop</t>
  </si>
  <si>
    <t>Low Kick</t>
  </si>
  <si>
    <t>Deals damage based on foe's weight</t>
  </si>
  <si>
    <t>Mach Punch</t>
  </si>
  <si>
    <t>Priority +1</t>
  </si>
  <si>
    <t>Reversal</t>
  </si>
  <si>
    <t>Higher damage when user's HP is lower</t>
  </si>
  <si>
    <t>Rock Smash</t>
  </si>
  <si>
    <t>Lowers foe's Defense by 1 stage</t>
  </si>
  <si>
    <t>Ignores foe's Defense boosts</t>
  </si>
  <si>
    <t>Causes 1/5 damage dealt as recoil</t>
  </si>
  <si>
    <t>Hits Pokémon during Fly and Sky Attack</t>
  </si>
  <si>
    <t>Submission</t>
  </si>
  <si>
    <t>Lowers user's Atk and Def by 1 stage</t>
  </si>
  <si>
    <t>Vital Throw</t>
  </si>
  <si>
    <t>Blazing Rush</t>
  </si>
  <si>
    <t>10% chance to Burn foe</t>
  </si>
  <si>
    <t>10% chance to Burn and 10% chance to Flinch foe</t>
  </si>
  <si>
    <t>10% chance of Burning foe</t>
  </si>
  <si>
    <t>Traps foe 3-5 turns dealing 1/16 HP per turn</t>
  </si>
  <si>
    <t>10% chance to Burn foe; thaws if Frozen</t>
  </si>
  <si>
    <t>20% chance to Burn</t>
  </si>
  <si>
    <t>Morning Sun</t>
  </si>
  <si>
    <t>Heals 1/2 health, 2/3 in sun, 1/4 in other weather</t>
  </si>
  <si>
    <t>Lowers user's SpA by 2 stages</t>
  </si>
  <si>
    <t>50% chance to Burn foe</t>
  </si>
  <si>
    <t>Sunny Day</t>
  </si>
  <si>
    <t>Starts Harsh Sun for 6 turns</t>
  </si>
  <si>
    <t>Air Slash</t>
  </si>
  <si>
    <t>Abilities by shared effect</t>
  </si>
  <si>
    <t>Drill Peck</t>
  </si>
  <si>
    <t>Lowers foe's Attack 2 stages</t>
  </si>
  <si>
    <t>Fly</t>
  </si>
  <si>
    <t>2-turn move; semi-invulnerable turn 1</t>
  </si>
  <si>
    <t>Gust</t>
  </si>
  <si>
    <t>Ignores Fly/Sky Attack invulnerability</t>
  </si>
  <si>
    <t>Hurricane</t>
  </si>
  <si>
    <t>30% chance to Confuse foe</t>
  </si>
  <si>
    <t>Mirror Move</t>
  </si>
  <si>
    <t>Copies foe's last move.</t>
  </si>
  <si>
    <t>Peck</t>
  </si>
  <si>
    <t>Current assignments: 176 Pokémon; 76 distinct Abilities.</t>
  </si>
  <si>
    <t>Eats foe's Berry if one is held</t>
  </si>
  <si>
    <t>Bold column: FULL LINE = same Ability on every recorded stage; FINAL = final evolution / standalone / intended alternate endpoint.</t>
  </si>
  <si>
    <t>Group totals count distinct Pokémon once per effect. An Ability may appear in several groups.</t>
  </si>
  <si>
    <t>Sky Attack</t>
  </si>
  <si>
    <t>Prismatic: 8 Eeveelutions share a deliberate theme; excluded from non-theme final-use totals.</t>
  </si>
  <si>
    <t>Boosts user's team's speed by 50% for 4 turns</t>
  </si>
  <si>
    <t>Whirlwind</t>
  </si>
  <si>
    <t>Wing Attack</t>
  </si>
  <si>
    <t>Ability</t>
  </si>
  <si>
    <t>Full effect</t>
  </si>
  <si>
    <t>Physical.  30% chance to Flinch foe; 2x damage to Minimized foes</t>
  </si>
  <si>
    <t>All assigned Pokémon</t>
  </si>
  <si>
    <t>Full lines / final Pokémon</t>
  </si>
  <si>
    <t>Confuse Ray</t>
  </si>
  <si>
    <t>Total Pokémon</t>
  </si>
  <si>
    <t>Final Pokémon</t>
  </si>
  <si>
    <t>Flinch immunity · 4 Abilities</t>
  </si>
  <si>
    <t>3 non-theme final uses</t>
  </si>
  <si>
    <t>Damage doubles if foe suffers from status</t>
  </si>
  <si>
    <t>Night Shade</t>
  </si>
  <si>
    <t>20% chance to lower foe's SpD by 1 stage</t>
  </si>
  <si>
    <t>Firm Footing</t>
  </si>
  <si>
    <t>Cannot be flinched or forced out.</t>
  </si>
  <si>
    <t>Makuhita, Hariyama</t>
  </si>
  <si>
    <t>20% chance to raise SpA 1 stage</t>
  </si>
  <si>
    <t>FULL LINE: Makuhita → Hariyama</t>
  </si>
  <si>
    <t>Tenacity</t>
  </si>
  <si>
    <t>Cannot be flinched or have its attack reduced by the opponent.</t>
  </si>
  <si>
    <t>Totodile, Croconaw, Feraligatr</t>
  </si>
  <si>
    <t>FULL LINE: Totodile → Croconaw → Feraligatr</t>
  </si>
  <si>
    <t>Dauntless</t>
  </si>
  <si>
    <t>Cannot be flinched and Defense cannot be lowered by foe.</t>
  </si>
  <si>
    <t>Scizor</t>
  </si>
  <si>
    <t>FINAL: Scizor</t>
  </si>
  <si>
    <t>Spite</t>
  </si>
  <si>
    <t>Inner Focus</t>
  </si>
  <si>
    <t>Immune to Flinching.</t>
  </si>
  <si>
    <t>Bagon</t>
  </si>
  <si>
    <t>Lowers PP of foe's last used move by 4</t>
  </si>
  <si>
    <t>Earlier stages only</t>
  </si>
  <si>
    <t>Stat-drop protection · 6 Abilities</t>
  </si>
  <si>
    <t>Burns foe</t>
  </si>
  <si>
    <t>6 non-theme final uses</t>
  </si>
  <si>
    <t>Absorb</t>
  </si>
  <si>
    <t>Nimble</t>
  </si>
  <si>
    <t>Damaging attacks ignore Substitute and Speed cannot be lowered by foe.</t>
  </si>
  <si>
    <t>Scyther</t>
  </si>
  <si>
    <t>FINAL: Scyther</t>
  </si>
  <si>
    <t>Removes status conditions from entire team</t>
  </si>
  <si>
    <t>Ironclad</t>
  </si>
  <si>
    <t>Prevents stat reductions caused by opponents; self-inflicted stat reductions still apply.</t>
  </si>
  <si>
    <t>Aron, Lairon, Aggron, Beldum, Metang, Metagross</t>
  </si>
  <si>
    <t>FULL LINE: Aron → Lairon → Aggron; FULL LINE: Beldum → Metang → Metagross</t>
  </si>
  <si>
    <t>Hyper Cutter</t>
  </si>
  <si>
    <t>Cannot have its Attack reduced by opponent.</t>
  </si>
  <si>
    <t>Trapinch</t>
  </si>
  <si>
    <t>Unrelenting</t>
  </si>
  <si>
    <t>Cotton Spore</t>
  </si>
  <si>
    <t>Cannot have its Attack or Special Attack reduced by opponent.</t>
  </si>
  <si>
    <t>Krabby, Kingler</t>
  </si>
  <si>
    <t>FULL LINE: Krabby → Kingler</t>
  </si>
  <si>
    <t>50% chance to lower foe's Speed by 1 stage</t>
  </si>
  <si>
    <t>Critical-hit immunity · 5 Abilities</t>
  </si>
  <si>
    <t>20% chance to lower target's Special Defense</t>
  </si>
  <si>
    <t>Frenzy Plant</t>
  </si>
  <si>
    <t>User must recharge next turn</t>
  </si>
  <si>
    <t>Grass Whistle</t>
  </si>
  <si>
    <t>Sleeps the foe</t>
  </si>
  <si>
    <t>Growth</t>
  </si>
  <si>
    <t>Increases SpA by one stage; two in harsh sunlight.</t>
  </si>
  <si>
    <t>Roots user, healing 1/16 per turn; immune to phaze</t>
  </si>
  <si>
    <t>Leech Seed</t>
  </si>
  <si>
    <t>Drains 1/8 health from foe per turn</t>
  </si>
  <si>
    <t>Locked for 2-3 turns then confused afterwards</t>
  </si>
  <si>
    <t>Charges for one turn then attacks; fires instantly in Harsh Sun</t>
  </si>
  <si>
    <t>Paralyzes the foe</t>
  </si>
  <si>
    <t>Synthesis</t>
  </si>
  <si>
    <t>Changes foe's Ability to Insomnia until switched out</t>
  </si>
  <si>
    <t>Bone Club</t>
  </si>
  <si>
    <t>Bone Rush</t>
  </si>
  <si>
    <t>Bonemerang</t>
  </si>
  <si>
    <t>Dig</t>
  </si>
  <si>
    <t>Burrows turn 1, attacks turn 2</t>
  </si>
  <si>
    <t>Earthquake</t>
  </si>
  <si>
    <t>Bone Guard</t>
  </si>
  <si>
    <t>Hits foes during Dig</t>
  </si>
  <si>
    <t>Immune to Critical Hits.</t>
  </si>
  <si>
    <t>Magnitude</t>
  </si>
  <si>
    <t>Cubone</t>
  </si>
  <si>
    <t>Ranges from 10 to 150 BP, averaging 71.  Hits foes during Dig.</t>
  </si>
  <si>
    <t>20% chance to lower foe's Accuracy by 1 stage</t>
  </si>
  <si>
    <t>Hard Body</t>
  </si>
  <si>
    <t>Larvitar</t>
  </si>
  <si>
    <t>Lowers the foe's Speed by 1 stage</t>
  </si>
  <si>
    <t>Shell Armor</t>
  </si>
  <si>
    <t>Immune to critical hits.</t>
  </si>
  <si>
    <t>Mud Slap</t>
  </si>
  <si>
    <t>Shellder, Omanyte, Shelgon</t>
  </si>
  <si>
    <t>Lowers foe's Accuracy by 1 stage</t>
  </si>
  <si>
    <t>Spiked Shell</t>
  </si>
  <si>
    <t>Immune to critical hits and contact moves deal 1/8 damage to attacker.</t>
  </si>
  <si>
    <t>Cloyster, Omastar</t>
  </si>
  <si>
    <t>Mud Sport</t>
  </si>
  <si>
    <t>FINAL: Cloyster, Omastar</t>
  </si>
  <si>
    <t>Halves Electric moves for 6 turns</t>
  </si>
  <si>
    <t>Unbroken</t>
  </si>
  <si>
    <t>Immune to Critical Hits and held item cannot be disabled in-battle.</t>
  </si>
  <si>
    <t>Marowak</t>
  </si>
  <si>
    <t>Sand Attack</t>
  </si>
  <si>
    <t>FINAL: Marowak</t>
  </si>
  <si>
    <t>Lowers foe's accuracy by 1 stage</t>
  </si>
  <si>
    <t>Accuracy / evasion independence · 2 Abilities</t>
  </si>
  <si>
    <t>Spikes</t>
  </si>
  <si>
    <t>Keen Eye</t>
  </si>
  <si>
    <t>Ignores Accuracy and Evasion changes during battle.</t>
  </si>
  <si>
    <t>Pidgey, Pidgeotto, Pidgeot, Sentret, Sneasel, Weavile</t>
  </si>
  <si>
    <t>Layers spikes on the opponent's side up to 3</t>
  </si>
  <si>
    <t>FULL LINE: Pidgey → Pidgeotto → Pidgeot; FULL LINE: Sneasel → Weavile</t>
  </si>
  <si>
    <t>Keen Nose</t>
  </si>
  <si>
    <t>Ignores in-battle accuracy and evasion changes.</t>
  </si>
  <si>
    <t>Growlithe, Arcanine</t>
  </si>
  <si>
    <t>FULL LINE: Growlithe → Arcanine</t>
  </si>
  <si>
    <t>Contact damage reduction · 3 Abilities</t>
  </si>
  <si>
    <t>20% chance to lower foe's Attack by 1 stage</t>
  </si>
  <si>
    <t>20% chance to Freeze foe</t>
  </si>
  <si>
    <t>Thick Hide</t>
  </si>
  <si>
    <t>Reduces damage from contact moves by 20%.</t>
  </si>
  <si>
    <t>Sandshrew, Nidoqueen</t>
  </si>
  <si>
    <t>FINAL: Nidoqueen</t>
  </si>
  <si>
    <t>Shell Guard</t>
  </si>
  <si>
    <t>Lapras</t>
  </si>
  <si>
    <t>FINAL: Lapras</t>
  </si>
  <si>
    <t>Starts Hail for 6 turns.</t>
  </si>
  <si>
    <t>Spiny Hide</t>
  </si>
  <si>
    <t>Reduces damage from contact moves by 20% and boosts damage of your contact moves by 20%.</t>
  </si>
  <si>
    <t>Haze</t>
  </si>
  <si>
    <t>Sandslash</t>
  </si>
  <si>
    <t>FINAL: Sandslash</t>
  </si>
  <si>
    <t>Resets stat changes</t>
  </si>
  <si>
    <t>Protection from harmful contact effects · 1 Ability</t>
  </si>
  <si>
    <t>Power doubles if Defense Curl used prior</t>
  </si>
  <si>
    <t>Ice Beam</t>
  </si>
  <si>
    <t>1 non-theme final use</t>
  </si>
  <si>
    <t>10% chance to Freeze foe</t>
  </si>
  <si>
    <t>Rugged Tread</t>
  </si>
  <si>
    <t>Ignores the harmful effects from making contact with opponent.</t>
  </si>
  <si>
    <t>Donphan</t>
  </si>
  <si>
    <t>FINAL: Donphan</t>
  </si>
  <si>
    <t>10% chance to Freeze and 10% chance to Flinch foe</t>
  </si>
  <si>
    <t>Ice Punch</t>
  </si>
  <si>
    <t>General damage reduction · 1 Ability</t>
  </si>
  <si>
    <t>Battle Armor</t>
  </si>
  <si>
    <t>Damage taken reduced by 20%; receive 33% more from supereffective hits.</t>
  </si>
  <si>
    <t>Kabuto, Kabutops</t>
  </si>
  <si>
    <t>FULL LINE: Kabuto → Kabutops</t>
  </si>
  <si>
    <t>30% chance to Flinch foe</t>
  </si>
  <si>
    <t>OHKO protection · 1 Ability</t>
  </si>
  <si>
    <t>Icicle Spear</t>
  </si>
  <si>
    <t>Sturdy</t>
  </si>
  <si>
    <t>Negates OHKOs at or above 90% health.</t>
  </si>
  <si>
    <t>Onix, Skarmory, Phanpy</t>
  </si>
  <si>
    <t>FINAL: Skarmory</t>
  </si>
  <si>
    <t>Lowers foe's speed by one stage</t>
  </si>
  <si>
    <t>Type-based damage reduction · 2 Abilities</t>
  </si>
  <si>
    <t>Mist</t>
  </si>
  <si>
    <t>Prevents stat reductions and critical hits to your team for 6 turns</t>
  </si>
  <si>
    <t>Thick Fat</t>
  </si>
  <si>
    <t>Reduces damage from Fire and Ice attacks by 50%.</t>
  </si>
  <si>
    <t>Swinub, Piloswine, Mamoswine</t>
  </si>
  <si>
    <t>Powder Snow</t>
  </si>
  <si>
    <t>FULL LINE: Swinub → Piloswine → Mamoswine</t>
  </si>
  <si>
    <t>Dragon Scale</t>
  </si>
  <si>
    <t>Each resistance supplied by Dragon uses a ¼ damage factor instead of ½, combining normally with the Pokémon's other type.</t>
  </si>
  <si>
    <t>Kingdra, Dratini, Dragonair, Dragonite</t>
  </si>
  <si>
    <t>Barrage</t>
  </si>
  <si>
    <t>FULL LINE: Dratini → Dragonair → Dragonite; FINAL: Kingdra</t>
  </si>
  <si>
    <t>Contact retaliation damage · 2 Abilities</t>
  </si>
  <si>
    <t>2 non-theme final uses</t>
  </si>
  <si>
    <t>Rough Skin</t>
  </si>
  <si>
    <t>Contact with the Pokémon deals 1/8 max health in damage.</t>
  </si>
  <si>
    <t>Gible</t>
  </si>
  <si>
    <t>Baton Pass</t>
  </si>
  <si>
    <t>User switches out and passes effects to replacement Pokémon</t>
  </si>
  <si>
    <t>Belly Drum</t>
  </si>
  <si>
    <t>Halves HP to max user's Attack</t>
  </si>
  <si>
    <t>Receiving contact: Speed reduction · 2 Abilities</t>
  </si>
  <si>
    <t>Bide</t>
  </si>
  <si>
    <t>Takes hits for two turns then retaliates</t>
  </si>
  <si>
    <t>Entangle</t>
  </si>
  <si>
    <t>Bind</t>
  </si>
  <si>
    <t>Receiving damage from a Contact move lowers the attacker's Speed by 1 stage</t>
  </si>
  <si>
    <t>Tangela, Tangrowth</t>
  </si>
  <si>
    <t>FULL LINE: Tangela → Tangrowth</t>
  </si>
  <si>
    <t>Sticky Silk</t>
  </si>
  <si>
    <t>Spinarak, Ariados</t>
  </si>
  <si>
    <t>FULL LINE: Spinarak → Ariados</t>
  </si>
  <si>
    <t>Body Slam</t>
  </si>
  <si>
    <t>Receiving contact: Poison · 1 Ability</t>
  </si>
  <si>
    <t>Captivate</t>
  </si>
  <si>
    <t>Poison Point</t>
  </si>
  <si>
    <t>Receiving Contact has a 40% chance to inflict Poison.</t>
  </si>
  <si>
    <t>Lowers foe's SpA by 2 stages if opposite gender</t>
  </si>
  <si>
    <t>Nidoran (F), Nidorina, Seadra, Wooper, Quagsire</t>
  </si>
  <si>
    <t>FULL LINE: Wooper → Quagsire</t>
  </si>
  <si>
    <t>Constrict</t>
  </si>
  <si>
    <t>Receiving contact: Paralysis · 1 Ability</t>
  </si>
  <si>
    <t>30% chance to lower foe's Speed one stage</t>
  </si>
  <si>
    <t>Static</t>
  </si>
  <si>
    <t>Contact moves have a 40% chance to inflict Paralysis.</t>
  </si>
  <si>
    <t>Mareep, Flaaffy, Ampharos</t>
  </si>
  <si>
    <t>Lowers the foe's defense by 1 stage</t>
  </si>
  <si>
    <t>FULL LINE: Mareep → Flaaffy → Ampharos</t>
  </si>
  <si>
    <t>Defense Curl</t>
  </si>
  <si>
    <t>Attacking with contact: Burn · 1 Ability</t>
  </si>
  <si>
    <t>Raises user's Defense by 1 stage</t>
  </si>
  <si>
    <t>Scorch</t>
  </si>
  <si>
    <t>Contact moves have a 40% chance to Burn the opponent.</t>
  </si>
  <si>
    <t>Disable</t>
  </si>
  <si>
    <t>Ponyta, Rapidash</t>
  </si>
  <si>
    <t>FULL LINE: Ponyta → Rapidash</t>
  </si>
  <si>
    <t>Blocks foe's last used move for 3-5 turns.</t>
  </si>
  <si>
    <t>Dragon attacks: added Burn chance · 1 Ability</t>
  </si>
  <si>
    <t>Dizzy Punch</t>
  </si>
  <si>
    <t>20% chance to Confuse foe</t>
  </si>
  <si>
    <t>Double Slap</t>
  </si>
  <si>
    <t>Dragon Flame</t>
  </si>
  <si>
    <t>Dragon-type attacks deal 20% additional damage and have an added 10% chance to Burn.</t>
  </si>
  <si>
    <t>Charmander, Charmeleon, Charizard</t>
  </si>
  <si>
    <t>FULL LINE: Charmander → Charmeleon → Charizard</t>
  </si>
  <si>
    <t>Hits twice (like Double Kick)</t>
  </si>
  <si>
    <t>Attacking with contact: Paralysis · 1 Ability</t>
  </si>
  <si>
    <t>Double Team</t>
  </si>
  <si>
    <t>Boosts user's Evasion by 1 stage</t>
  </si>
  <si>
    <t>Electrify</t>
  </si>
  <si>
    <t>Contact moves have a 30% chance to paralyze the target.</t>
  </si>
  <si>
    <t>Double-Edge</t>
  </si>
  <si>
    <t>Shinx, Luxio, Luxray</t>
  </si>
  <si>
    <t>FULL LINE: Shinx → Luxio → Luxray</t>
  </si>
  <si>
    <t>Attacking with contact: Defense increase · 1 Ability</t>
  </si>
  <si>
    <t>Egg Bomb</t>
  </si>
  <si>
    <t>Steel Shell</t>
  </si>
  <si>
    <t>Cannot be Poisoned.  Attacking with Contact moves has a 30% chance to raise Defense by 1 stage.</t>
  </si>
  <si>
    <t>Squirtle, Wartortle, Blastoise</t>
  </si>
  <si>
    <t>Encore</t>
  </si>
  <si>
    <t>FULL LINE: Squirtle → Wartortle → Blastoise</t>
  </si>
  <si>
    <t>Status curing · 3 Abilities</t>
  </si>
  <si>
    <t>Forces foe to use last move for 3-5 turns.</t>
  </si>
  <si>
    <t>Endeavor</t>
  </si>
  <si>
    <t>Shed Skin</t>
  </si>
  <si>
    <t>50% chance to remove status each turn</t>
  </si>
  <si>
    <t>Sets foe's health to user's current health</t>
  </si>
  <si>
    <t>Metapod, Kakuna, Pupitar</t>
  </si>
  <si>
    <t>Endure</t>
  </si>
  <si>
    <t>Natural Cure</t>
  </si>
  <si>
    <t>Heals status conditions upon switching out or battle ending.</t>
  </si>
  <si>
    <t>User survives with 1 HP</t>
  </si>
  <si>
    <t>Chikorita, Bayleef, Meganium</t>
  </si>
  <si>
    <t>FULL LINE: Chikorita → Bayleef → Meganium</t>
  </si>
  <si>
    <t>Explosion</t>
  </si>
  <si>
    <t>Reconstruct</t>
  </si>
  <si>
    <t>All status conditions are healed upon using Recover or battle end.</t>
  </si>
  <si>
    <t>Staryu, Starmie</t>
  </si>
  <si>
    <t>FULL LINE: Staryu → Starmie</t>
  </si>
  <si>
    <t>User faints.  Foe's Defense is not halved.</t>
  </si>
  <si>
    <t>Sleep / drowsy / Hypnosis protection · 3 Abilities</t>
  </si>
  <si>
    <t>ExtremeSpeed</t>
  </si>
  <si>
    <t>Priority +2</t>
  </si>
  <si>
    <t>Insomnia</t>
  </si>
  <si>
    <t>Cannot be put to sleep or made drowsy.</t>
  </si>
  <si>
    <t>Hoothoot, Noctowl</t>
  </si>
  <si>
    <t>FULL LINE: Hoothoot → Noctowl</t>
  </si>
  <si>
    <t>Maximum Priority, always Flinches, only usable after switching in</t>
  </si>
  <si>
    <t>Early Bird</t>
  </si>
  <si>
    <t>Cannot be put to Sleep or made drowsy.</t>
  </si>
  <si>
    <t>Ledian</t>
  </si>
  <si>
    <t>Flail</t>
  </si>
  <si>
    <t>FINAL: Ledian</t>
  </si>
  <si>
    <t>Deals damage based on how low user's HP is</t>
  </si>
  <si>
    <t>Own Tempo</t>
  </si>
  <si>
    <t>Immune to Confusion status and Hypnosis.</t>
  </si>
  <si>
    <t>Psyduck, Poliwhirl, Exeggutor</t>
  </si>
  <si>
    <t>Focus Energy</t>
  </si>
  <si>
    <t>FINAL: Exeggutor</t>
  </si>
  <si>
    <t>Confusion immunity · 1 Ability</t>
  </si>
  <si>
    <t>Increases critical hit ratio</t>
  </si>
  <si>
    <t>Foresight</t>
  </si>
  <si>
    <t>Allows Normal/Fighting moves to hit Ghost types</t>
  </si>
  <si>
    <t>Fury Attack</t>
  </si>
  <si>
    <t>Poison immunity · 1 Ability</t>
  </si>
  <si>
    <t>Fury Swipes</t>
  </si>
  <si>
    <t>Growl</t>
  </si>
  <si>
    <t>Lowers foe's attack by one stage</t>
  </si>
  <si>
    <t>Burn immunity · 1 Ability</t>
  </si>
  <si>
    <t>Harden</t>
  </si>
  <si>
    <t>Raises user's defense by one stage</t>
  </si>
  <si>
    <t>Water Veil</t>
  </si>
  <si>
    <t>Prevents the user from becoming Burned.</t>
  </si>
  <si>
    <t>Poliwrath, Horsea, Wingull, Pelipper</t>
  </si>
  <si>
    <t>Headbutt</t>
  </si>
  <si>
    <t>FULL LINE: Wingull → Pelipper; FINAL: Poliwrath</t>
  </si>
  <si>
    <t>Burn Attack-penalty protection · 1 Ability</t>
  </si>
  <si>
    <t>20% chance to Flinch foe.</t>
  </si>
  <si>
    <t>Heal Bell</t>
  </si>
  <si>
    <t>Guts</t>
  </si>
  <si>
    <t>Boosts Attack by 50% when afflicted with non-volatile status condition.  Burns do not reduce attack.</t>
  </si>
  <si>
    <t>Heracross</t>
  </si>
  <si>
    <t>FINAL: Heracross</t>
  </si>
  <si>
    <t>Horn Attack</t>
  </si>
  <si>
    <t>Paralysis immunity · 1 Ability</t>
  </si>
  <si>
    <t>Limber</t>
  </si>
  <si>
    <t>Immune to Paralysis.</t>
  </si>
  <si>
    <t>Bellsprout, Furret</t>
  </si>
  <si>
    <t>Raises Attack by 1 stage</t>
  </si>
  <si>
    <t>FINAL: Furret</t>
  </si>
  <si>
    <t>Hyper Beam</t>
  </si>
  <si>
    <t>Secondary-effect protection · 1 Ability</t>
  </si>
  <si>
    <t>User must recharge for 1 turn after use</t>
  </si>
  <si>
    <t>Marvel Scale</t>
  </si>
  <si>
    <t>Prevents secondary effects against the Pokémon</t>
  </si>
  <si>
    <t>Milotic</t>
  </si>
  <si>
    <t>FINAL: Milotic</t>
  </si>
  <si>
    <t>Forced-switch protection · 1 Ability</t>
  </si>
  <si>
    <t>Leer</t>
  </si>
  <si>
    <t>Lock On</t>
  </si>
  <si>
    <t>Escape / trapping protection · 1 Ability</t>
  </si>
  <si>
    <t>Next turn's attack has 100% accuracy and 30% more power</t>
  </si>
  <si>
    <t>0 non-theme final uses</t>
  </si>
  <si>
    <t>Mega Kick</t>
  </si>
  <si>
    <t>Run Away</t>
  </si>
  <si>
    <t>Can always flee wild Pokémon battles and cannot be trapped.</t>
  </si>
  <si>
    <t>Caterpie, Weedle, Vulpix, Magikarp, Feebas</t>
  </si>
  <si>
    <t>Mega Punch</t>
  </si>
  <si>
    <t>Opponent trapping · 1 Ability</t>
  </si>
  <si>
    <t>Minimize</t>
  </si>
  <si>
    <t>Magnetism</t>
  </si>
  <si>
    <t>Traps Rock-type and Steel-type but not Ground-type Pokémon.</t>
  </si>
  <si>
    <t>Boosts Evasion by 1 stage</t>
  </si>
  <si>
    <t>Magnemite, Magneton, Magnezone</t>
  </si>
  <si>
    <t>FULL LINE: Magnemite → Magneton → Magnezone</t>
  </si>
  <si>
    <t>Odor Sleuth</t>
  </si>
  <si>
    <t>Ground-move immunity · 3 Abilities</t>
  </si>
  <si>
    <t>Allows attacks to always hit foe</t>
  </si>
  <si>
    <t>4 non-theme final uses</t>
  </si>
  <si>
    <t>Perish Song</t>
  </si>
  <si>
    <t>Levitate</t>
  </si>
  <si>
    <t>Immune to ground moves</t>
  </si>
  <si>
    <t>Hoppip, Skiploom, Jumpluff, Vibrava, Flygon</t>
  </si>
  <si>
    <t>All Pokémon on the field faint after 3 turns.</t>
  </si>
  <si>
    <t>FULL LINE: Hoppip → Skiploom → Jumpluff; FINAL: Flygon</t>
  </si>
  <si>
    <t>Pound</t>
  </si>
  <si>
    <t>Sand Glide</t>
  </si>
  <si>
    <t>During Sandstorm, immune to Ground-type moves and Flying attacks boosted 20%.</t>
  </si>
  <si>
    <t>Gabite, Garchomp</t>
  </si>
  <si>
    <t>FINAL: Garchomp</t>
  </si>
  <si>
    <t>Cloud Nine</t>
  </si>
  <si>
    <t>Protect</t>
  </si>
  <si>
    <t>Provides immunity to Ground moves and negates weather effects.</t>
  </si>
  <si>
    <t>Swablu, Altaria</t>
  </si>
  <si>
    <t>FULL LINE: Swablu → Altaria</t>
  </si>
  <si>
    <t>Detect-triggered move immunity · 1 Ability</t>
  </si>
  <si>
    <t>Attunement</t>
  </si>
  <si>
    <t>Once per switch-in, blocking a move's effect with Detect prevents that move from that opponent from affecting you.  Lost if you switch out.</t>
  </si>
  <si>
    <t>Riolu, Lucario</t>
  </si>
  <si>
    <t>FULL LINE: Riolu → Lucario</t>
  </si>
  <si>
    <t>Wind-move immunity · 1 Ability</t>
  </si>
  <si>
    <t>Thermal Wake</t>
  </si>
  <si>
    <t>Provides immunity to wind-based moves and Sandstorm/Hail damage.</t>
  </si>
  <si>
    <t>Cyndaquil, Quilava, Typhlosion</t>
  </si>
  <si>
    <t>FULL LINE: Cyndaquil → Quilava → Typhlosion</t>
  </si>
  <si>
    <t>Weather damage immunity · 2 Abilities</t>
  </si>
  <si>
    <t>Opposing priority protection · 1 Ability</t>
  </si>
  <si>
    <t>Clairvoyance</t>
  </si>
  <si>
    <t>Immune to opposing, increased-priority moves that target it and to Taunt, Encore, and Disable.</t>
  </si>
  <si>
    <t>Golduck</t>
  </si>
  <si>
    <t>FINAL: Golduck</t>
  </si>
  <si>
    <t>Taunt / Encore / Disable protection · 1 Ability</t>
  </si>
  <si>
    <t>Held-item protection · 1 Ability</t>
  </si>
  <si>
    <t>Quick Attack</t>
  </si>
  <si>
    <t>Rage</t>
  </si>
  <si>
    <t>Disabling opposing moves · 1 Ability</t>
  </si>
  <si>
    <t>Boosts user's Attack 1 stage if hit</t>
  </si>
  <si>
    <t>Cursed Body</t>
  </si>
  <si>
    <t>Rapid Spin</t>
  </si>
  <si>
    <t>Attacks have a 30% chance to become Disabled when struck.</t>
  </si>
  <si>
    <t>Ninetales</t>
  </si>
  <si>
    <t>FINAL: Ninetales</t>
  </si>
  <si>
    <t>Removes hazards from user's side of the field</t>
  </si>
  <si>
    <t>Opponent Attack reduction · 1 Ability</t>
  </si>
  <si>
    <t>Recover</t>
  </si>
  <si>
    <t>Heals 1/2 health</t>
  </si>
  <si>
    <t>Intimidate</t>
  </si>
  <si>
    <t>Next foe to switch in has its Attack lowered by 1 stage.</t>
  </si>
  <si>
    <t>Gyarados, Salamence</t>
  </si>
  <si>
    <t>Roar</t>
  </si>
  <si>
    <t>FINAL: Gyarados; FINAL: Salamence</t>
  </si>
  <si>
    <t>Explosion prevention · 1 Ability</t>
  </si>
  <si>
    <t>Safeguard</t>
  </si>
  <si>
    <t>Prevents status conditions to user's team for 6 turns</t>
  </si>
  <si>
    <t>Scary Face</t>
  </si>
  <si>
    <t>Damp</t>
  </si>
  <si>
    <t>Prevents usage of Self-Destruct and Explosion</t>
  </si>
  <si>
    <t>Poliwag</t>
  </si>
  <si>
    <t>Lowers foe's speed by 2 stages</t>
  </si>
  <si>
    <t>Scratch</t>
  </si>
  <si>
    <t>Attacks bypass opposing defenses · 3 Abilities</t>
  </si>
  <si>
    <t>Screech</t>
  </si>
  <si>
    <t>Overpower</t>
  </si>
  <si>
    <t>Lowers foe's Defense by 2 stages</t>
  </si>
  <si>
    <t>Ignores the foe's Defense boosts.</t>
  </si>
  <si>
    <t>Nidoran (M), Nidorino, Nidoking</t>
  </si>
  <si>
    <t>FULL LINE: Nidoran (M) → Nidorino → Nidoking</t>
  </si>
  <si>
    <t>Selfdestruct</t>
  </si>
  <si>
    <t>Guard Break</t>
  </si>
  <si>
    <t>Attacks ignore Protect, Detect, and Reflect.</t>
  </si>
  <si>
    <t>Machop, Machoke, Machamp</t>
  </si>
  <si>
    <t>FULL LINE: Machop → Machoke → Machamp</t>
  </si>
  <si>
    <t>Sharpen</t>
  </si>
  <si>
    <t>Boosts user's Attack by 1 stage</t>
  </si>
  <si>
    <t>Sing</t>
  </si>
  <si>
    <t>Skull Bash</t>
  </si>
  <si>
    <t>Status-dependent Attack boost · 1 Ability</t>
  </si>
  <si>
    <t>Boosts user's Defense 1 stage turn one; attacks turn two.</t>
  </si>
  <si>
    <t>Slam</t>
  </si>
  <si>
    <t>Low-HP damage boosts · 5 Abilities</t>
  </si>
  <si>
    <t>Slash</t>
  </si>
  <si>
    <t>Short Fuse</t>
  </si>
  <si>
    <t>Boosts physical moves by 30% when at or below half health.</t>
  </si>
  <si>
    <t>Sleep Talk</t>
  </si>
  <si>
    <t>Mankey, Primeape</t>
  </si>
  <si>
    <t>FULL LINE: Mankey → Primeape</t>
  </si>
  <si>
    <t>Must be asleep.  Randomly selects one of your other 3 moves</t>
  </si>
  <si>
    <t>Swarm</t>
  </si>
  <si>
    <t>Increases the power of Bug moves by 30% while at or below half health.</t>
  </si>
  <si>
    <t>SmellingSalt</t>
  </si>
  <si>
    <t>Ledyba</t>
  </si>
  <si>
    <t>Overgrow</t>
  </si>
  <si>
    <t>Increases Grass damage by 30% while at or below half health.</t>
  </si>
  <si>
    <t>2x against Paralyzed, but removes it</t>
  </si>
  <si>
    <t>Treecko, Grovyle, Sceptile</t>
  </si>
  <si>
    <t>FULL LINE: Treecko → Grovyle → Sceptile</t>
  </si>
  <si>
    <t>Smokescreen</t>
  </si>
  <si>
    <t>Blaze</t>
  </si>
  <si>
    <t>Increases Fire damage by 30% while at or below half health.</t>
  </si>
  <si>
    <t>Torchic, Combusken, Blaziken</t>
  </si>
  <si>
    <t>FULL LINE: Torchic → Combusken → Blaziken</t>
  </si>
  <si>
    <t>Spit Up</t>
  </si>
  <si>
    <t>Torrent</t>
  </si>
  <si>
    <t>Increases Water damage by 30% while at or below half health.</t>
  </si>
  <si>
    <t>Mudkip, Marshtomp, Swampert</t>
  </si>
  <si>
    <t>FULL LINE: Mudkip → Marshtomp → Swampert</t>
  </si>
  <si>
    <t>Damage based on Stockpile level</t>
  </si>
  <si>
    <t>Splash</t>
  </si>
  <si>
    <t>General / next-attack damage boosts · 2 Abilities</t>
  </si>
  <si>
    <t>Has no effect</t>
  </si>
  <si>
    <t>All In</t>
  </si>
  <si>
    <t>Attacks hit 20% harder, but incur 20% damage dealt as recoil.</t>
  </si>
  <si>
    <t>Rattata, Raticate</t>
  </si>
  <si>
    <t>FULL LINE: Rattata → Raticate</t>
  </si>
  <si>
    <t>Stockpile</t>
  </si>
  <si>
    <t>Gallantry</t>
  </si>
  <si>
    <t>Raises Defense and Sp. Def by 1 stage; stores up to 3 stocks. Spit Up/Swallow consume stocks and remove the boosts gained from Stockpile.</t>
  </si>
  <si>
    <t>Damaging Dark-type moves boost next attack by 50%.</t>
  </si>
  <si>
    <t>Gallade</t>
  </si>
  <si>
    <t>FINAL: Gallade</t>
  </si>
  <si>
    <t>Stomp</t>
  </si>
  <si>
    <t>Damage boost against poisoned foes · 1 Ability</t>
  </si>
  <si>
    <t>30% chance to Flinch foe; double damage to Minimized foes.</t>
  </si>
  <si>
    <t>Substitute</t>
  </si>
  <si>
    <t>Venom Boost</t>
  </si>
  <si>
    <t>25% additional damage against poisoned foes</t>
  </si>
  <si>
    <t>Beedrill</t>
  </si>
  <si>
    <t>FINAL: Beedrill</t>
  </si>
  <si>
    <t>Creates a sub with 1/4 health to take hits</t>
  </si>
  <si>
    <t>Typed / STAB damage boosts · 5 Abilities</t>
  </si>
  <si>
    <t>Super Fang</t>
  </si>
  <si>
    <t>Deals damage equal to 50% of the foe's current HP rounded down</t>
  </si>
  <si>
    <t>Mesmer</t>
  </si>
  <si>
    <t>50% increase to Psychic moves.</t>
  </si>
  <si>
    <t>Butterfree</t>
  </si>
  <si>
    <t>Supersonic</t>
  </si>
  <si>
    <t>FINAL: Butterfree</t>
  </si>
  <si>
    <t>Confuses foe</t>
  </si>
  <si>
    <t>Purity</t>
  </si>
  <si>
    <t>Normal-type attacks receive a total 2× Same-Type Attack Bonus.</t>
  </si>
  <si>
    <t>Eevee</t>
  </si>
  <si>
    <t>Swallow</t>
  </si>
  <si>
    <t>Heal based on Stockpile level</t>
  </si>
  <si>
    <t>Prismatic</t>
  </si>
  <si>
    <t>Sweet Scent</t>
  </si>
  <si>
    <t>Lowers foe's Evasion by 1 stage</t>
  </si>
  <si>
    <t>Swift</t>
  </si>
  <si>
    <t>Normal-type attacks become its Prismatic Type and are boosted by 20%.</t>
  </si>
  <si>
    <t>Vaporeon, Jolteon, Flareon, Espeon, Umbreon, Leafeon, Glaceon, Sylveon</t>
  </si>
  <si>
    <t>SHARED EEVEELUTION THEME: Vaporeon, Jolteon, Flareon, Espeon, Umbreon, Leafeon, Glaceon, Sylveon</t>
  </si>
  <si>
    <t>Swords Dance</t>
  </si>
  <si>
    <t>Boosts user's Attack by 2 stages</t>
  </si>
  <si>
    <t>Tackle</t>
  </si>
  <si>
    <t>Tail Whip</t>
  </si>
  <si>
    <t>Take Down</t>
  </si>
  <si>
    <t>Contact-move damage boost · 1 Ability</t>
  </si>
  <si>
    <t>Thrash</t>
  </si>
  <si>
    <t>Vise Grip</t>
  </si>
  <si>
    <t>Weather-based bonuses · 2 Abilities</t>
  </si>
  <si>
    <t>Wrap</t>
  </si>
  <si>
    <t>Photophilic</t>
  </si>
  <si>
    <t>Always receives all benefits of Harsh Sunlight, regardless of current weather.</t>
  </si>
  <si>
    <t>Bulbasaur, Ivysaur, Venusaur</t>
  </si>
  <si>
    <t>FULL LINE: Bulbasaur → Ivysaur → Venusaur</t>
  </si>
  <si>
    <t>Makes foe drowsy, falling asleep next turn</t>
  </si>
  <si>
    <t>Weather setting · 2 Abilities</t>
  </si>
  <si>
    <t>Hits Steel super effectively; 10% Def drop</t>
  </si>
  <si>
    <t>Sand Stream</t>
  </si>
  <si>
    <t>Starts Sandstorm for 6 turns.</t>
  </si>
  <si>
    <t>Tyranitar</t>
  </si>
  <si>
    <t>Acid Armor</t>
  </si>
  <si>
    <t>FINAL: Tyranitar</t>
  </si>
  <si>
    <t>Drought</t>
  </si>
  <si>
    <t>Boosts user's Defense by 2 stages</t>
  </si>
  <si>
    <t>Starts Harsh Sunlight for 6 turns.</t>
  </si>
  <si>
    <t>Torkoal</t>
  </si>
  <si>
    <t>FINAL: Torkoal</t>
  </si>
  <si>
    <t>Weather suppression · 1 Ability</t>
  </si>
  <si>
    <t>40% chance to Badly Poison foe</t>
  </si>
  <si>
    <t>Healing after a KO · 1 Ability</t>
  </si>
  <si>
    <t>Poisons the foe</t>
  </si>
  <si>
    <t>Digestion</t>
  </si>
  <si>
    <t>KOing a foe with a direct attack restores 25% of its HP.</t>
  </si>
  <si>
    <t>Weepinbell, Victreebel</t>
  </si>
  <si>
    <t>FINAL: Victreebel</t>
  </si>
  <si>
    <t>20% chance to Poison foe</t>
  </si>
  <si>
    <t>Draining interactions · 2 Abilities</t>
  </si>
  <si>
    <t>Bloodsucker</t>
  </si>
  <si>
    <t>Increases the recovery from draining moves by 50%.</t>
  </si>
  <si>
    <t>Zubat, Golbat, Crobat</t>
  </si>
  <si>
    <t>FULL LINE: Zubat → Golbat → Crobat</t>
  </si>
  <si>
    <t>20% chance to Poison target</t>
  </si>
  <si>
    <t>Liquid Ooze</t>
  </si>
  <si>
    <t>User takes no damage from draining moves and attacker is damaged instead.</t>
  </si>
  <si>
    <t>Tentacool, Tentacruel</t>
  </si>
  <si>
    <t>FULL LINE: Tentacool → Tentacruel</t>
  </si>
  <si>
    <t>Increased chance to crit; 10% chance to Poison foe.</t>
  </si>
  <si>
    <t>Recoil immunity · 1 Ability</t>
  </si>
  <si>
    <t>40% chance to Poison foe</t>
  </si>
  <si>
    <t>Rock Head</t>
  </si>
  <si>
    <t>Prevents recoil damage.</t>
  </si>
  <si>
    <t>Geodude, Graveler, Golem</t>
  </si>
  <si>
    <t>FULL LINE: Geodude → Graveler → Golem</t>
  </si>
  <si>
    <t>60% chance to Poison foe</t>
  </si>
  <si>
    <t>Recoil / crash move boost · 1 Ability</t>
  </si>
  <si>
    <t>50% chance to Poison foe</t>
  </si>
  <si>
    <t>Reckless</t>
  </si>
  <si>
    <t>Boosts recoil and crash damage moves by 20%.</t>
  </si>
  <si>
    <t>Taillow, Swellow</t>
  </si>
  <si>
    <t>FULL LINE: Taillow → Swellow</t>
  </si>
  <si>
    <t>Smog</t>
  </si>
  <si>
    <t>Maximum multi-hit strikes · 1 Ability</t>
  </si>
  <si>
    <t>Skill Link</t>
  </si>
  <si>
    <t>Badly Poisons the foe</t>
  </si>
  <si>
    <t>Multi-hit moves always strike 5 times.</t>
  </si>
  <si>
    <t>Exeggcute</t>
  </si>
  <si>
    <t>Move type conversion · 1 Ability</t>
  </si>
  <si>
    <t>Layers Toxic Spikes on opponent's side up to 2</t>
  </si>
  <si>
    <t>Poisons foe and lowers its Speed by 1 stage</t>
  </si>
  <si>
    <t>50% chance to Badly Poison foe</t>
  </si>
  <si>
    <t>Venom Thrust</t>
  </si>
  <si>
    <t>30% chance to Poison foe</t>
  </si>
  <si>
    <t>Copying an Ability · 1 Ability</t>
  </si>
  <si>
    <t>Trace</t>
  </si>
  <si>
    <t>1/3 damage as Recoil; 30% chance to Poison foe</t>
  </si>
  <si>
    <t>Temporarily copies foe's Ability when sent out.</t>
  </si>
  <si>
    <t>Ralts, Kirlia, Gardevoir</t>
  </si>
  <si>
    <t>FINAL: Gardevoir</t>
  </si>
  <si>
    <t>Venoshock</t>
  </si>
  <si>
    <t>Double damage if foe is Poisoned</t>
  </si>
  <si>
    <t>Agility</t>
  </si>
  <si>
    <t>Raises the user's speed by 2 stages</t>
  </si>
  <si>
    <t>Amnesia</t>
  </si>
  <si>
    <t>Raises the user's Special Defense by 2 stages</t>
  </si>
  <si>
    <t>Barrier</t>
  </si>
  <si>
    <t>Raises SpA and SpD by 1 stage each</t>
  </si>
  <si>
    <t>Confusion</t>
  </si>
  <si>
    <t>Dream Eater</t>
  </si>
  <si>
    <t>Foe must be asleep; heals 50% damage dealt</t>
  </si>
  <si>
    <t>Future Sight</t>
  </si>
  <si>
    <t>Attack lands two turns after usage</t>
  </si>
  <si>
    <t>User faints to fully heal and restore another party member</t>
  </si>
  <si>
    <t>Hypnosis</t>
  </si>
  <si>
    <t>Kinesis</t>
  </si>
  <si>
    <t>Light Screen</t>
  </si>
  <si>
    <t>Halves special damage attacks against user's team for 6 turns</t>
  </si>
  <si>
    <t>Psybeam</t>
  </si>
  <si>
    <t>Psychic (move)</t>
  </si>
  <si>
    <t>Reflect</t>
  </si>
  <si>
    <t>Halves damage of physical moves for 6 turns</t>
  </si>
  <si>
    <t>Rest</t>
  </si>
  <si>
    <t>Heals the user fully, but sleeps for 3 turns</t>
  </si>
  <si>
    <t>Teleport</t>
  </si>
  <si>
    <t>Flees from wild battles; returns to dungeon entrance</t>
  </si>
  <si>
    <t>AncientPower</t>
  </si>
  <si>
    <t>20% chance to raise Atk 1 stage</t>
  </si>
  <si>
    <t>Piledriver</t>
  </si>
  <si>
    <t>Rock Slide</t>
  </si>
  <si>
    <t>Rock Throw</t>
  </si>
  <si>
    <t>Lowers foe's Speed by 1 stage</t>
  </si>
  <si>
    <t>Rollout</t>
  </si>
  <si>
    <t>Locked for 5 turns, doubles in power each hit and with D Curl</t>
  </si>
  <si>
    <t>Sandstorm</t>
  </si>
  <si>
    <t>Creates Sandstorm weather for 6 turns</t>
  </si>
  <si>
    <t>WreckingBall</t>
  </si>
  <si>
    <t>Comet Punch</t>
  </si>
  <si>
    <t>Cut</t>
  </si>
  <si>
    <t>Flash Cannon</t>
  </si>
  <si>
    <t>Special attack</t>
  </si>
  <si>
    <t>Deals damage based on difference in weight</t>
  </si>
  <si>
    <t>Raises user's Defense by 2 stages</t>
  </si>
  <si>
    <t>Iron Tail</t>
  </si>
  <si>
    <t>20% chance to lower foe's Defense by 1 stage</t>
  </si>
  <si>
    <t>Magnet Bomb</t>
  </si>
  <si>
    <t>Special attack.  20% chance to Confuse foe</t>
  </si>
  <si>
    <t>Metal Claw</t>
  </si>
  <si>
    <t>20% chance of raising user's Attack by 1 stage</t>
  </si>
  <si>
    <t>Metal Sound</t>
  </si>
  <si>
    <t>Lowers foe's Special Attack by 2 stages</t>
  </si>
  <si>
    <t>Shell Slam</t>
  </si>
  <si>
    <t>20% chance to raise Defense 1 stage</t>
  </si>
  <si>
    <t>Sonic Boom</t>
  </si>
  <si>
    <t>Spike Cannon</t>
  </si>
  <si>
    <t>Steel Fist</t>
  </si>
  <si>
    <t>20% chance to lower foe's Def by 1 stage</t>
  </si>
  <si>
    <t>Steel Wing</t>
  </si>
  <si>
    <t>Aqua Ring</t>
  </si>
  <si>
    <t>Restores 1/16 of user's health per turn</t>
  </si>
  <si>
    <t>Bubble</t>
  </si>
  <si>
    <t>20% chance to lower foe's Speed 1 stage.</t>
  </si>
  <si>
    <t>Bubble Beam</t>
  </si>
  <si>
    <t>Clamp</t>
  </si>
  <si>
    <t>Crabhammer</t>
  </si>
  <si>
    <t>40% chance to lower foe's Accuracy by 1 stage</t>
  </si>
  <si>
    <t>Rain Dance</t>
  </si>
  <si>
    <t>Starts Rain for 6 turns</t>
  </si>
  <si>
    <t>Surf</t>
  </si>
  <si>
    <t>Water Gun</t>
  </si>
  <si>
    <t>Whirlpool</t>
  </si>
  <si>
    <t>Withdraw</t>
  </si>
  <si>
    <t>Boosts user's Defense by 1 stage.</t>
  </si>
  <si>
    <t>Stats</t>
  </si>
  <si>
    <t>Evolution</t>
  </si>
  <si>
    <t>Stat</t>
  </si>
  <si>
    <t>Before</t>
  </si>
  <si>
    <t>After</t>
  </si>
  <si>
    <t>Diff</t>
  </si>
  <si>
    <t>Moves always receive Sun boost.</t>
  </si>
  <si>
    <t>Ivysaur</t>
  </si>
  <si>
    <t>Level 16</t>
  </si>
  <si>
    <t>HP</t>
  </si>
  <si>
    <t>Atk</t>
  </si>
  <si>
    <t>Def</t>
  </si>
  <si>
    <t>SpA</t>
  </si>
  <si>
    <t>Moves</t>
  </si>
  <si>
    <t>SpD</t>
  </si>
  <si>
    <t>Speed</t>
  </si>
  <si>
    <t>Level</t>
  </si>
  <si>
    <t>Total</t>
  </si>
  <si>
    <t>Venusaur</t>
  </si>
  <si>
    <t>Level 36</t>
  </si>
  <si>
    <t>Evo</t>
  </si>
  <si>
    <t>TM/Tutor</t>
  </si>
  <si>
    <t>Charizard</t>
  </si>
  <si>
    <t>Charmeleon</t>
  </si>
  <si>
    <t>Wartortle</t>
  </si>
  <si>
    <t>Blastoise</t>
  </si>
  <si>
    <t>Metapod</t>
  </si>
  <si>
    <t>Level 7</t>
  </si>
  <si>
    <t>Level 10</t>
  </si>
  <si>
    <t>Kakuna</t>
  </si>
  <si>
    <t>Pidgeotto</t>
  </si>
  <si>
    <t>Level 18</t>
  </si>
  <si>
    <t>Pidgeot</t>
  </si>
  <si>
    <t>Raticate</t>
  </si>
  <si>
    <t>Level 28</t>
  </si>
  <si>
    <t>Nidorina</t>
  </si>
  <si>
    <t>Nidoqueen</t>
  </si>
  <si>
    <t>Level 22</t>
  </si>
  <si>
    <t>Moon Stone</t>
  </si>
  <si>
    <t>CHANGE EGG GROUP</t>
  </si>
  <si>
    <t>Nidorino</t>
  </si>
  <si>
    <t>Nidoking</t>
  </si>
  <si>
    <t>Fire Stone</t>
  </si>
  <si>
    <t>Golbat</t>
  </si>
  <si>
    <t>Crobat</t>
  </si>
  <si>
    <t>Level 42</t>
  </si>
  <si>
    <t>Level 40</t>
  </si>
  <si>
    <t>Primeape</t>
  </si>
  <si>
    <t>Arcanine</t>
  </si>
  <si>
    <t>Poliwhirl</t>
  </si>
  <si>
    <t>Level 12</t>
  </si>
  <si>
    <t>Poliwrath</t>
  </si>
  <si>
    <t>Level 32</t>
  </si>
  <si>
    <t>Politoed</t>
  </si>
  <si>
    <t>Water Stone</t>
  </si>
  <si>
    <t>Maximum Priority</t>
  </si>
  <si>
    <t>Machoke</t>
  </si>
  <si>
    <t>Level 24</t>
  </si>
  <si>
    <t>Machamp</t>
  </si>
  <si>
    <t>Level 44</t>
  </si>
  <si>
    <t>Weepinbell</t>
  </si>
  <si>
    <t>Victreebel</t>
  </si>
  <si>
    <t>Tentacruel</t>
  </si>
  <si>
    <t>Graveler</t>
  </si>
  <si>
    <t>Level 25</t>
  </si>
  <si>
    <t>Golem</t>
  </si>
  <si>
    <t>Level 45</t>
  </si>
  <si>
    <t>Rapidash</t>
  </si>
  <si>
    <t>Magneton</t>
  </si>
  <si>
    <t>Level 30</t>
  </si>
  <si>
    <t>Magnezone</t>
  </si>
  <si>
    <t>Level 50</t>
  </si>
  <si>
    <t>Cloyster</t>
  </si>
  <si>
    <t>Steelix</t>
  </si>
  <si>
    <t>Metal Coat</t>
  </si>
  <si>
    <t>Kingler</t>
  </si>
  <si>
    <t>Level 34</t>
  </si>
  <si>
    <t>Exeggutor</t>
  </si>
  <si>
    <t>Leaf Stone</t>
  </si>
  <si>
    <t>CHANGE THICK CLUB</t>
  </si>
  <si>
    <t>Tangrowth</t>
  </si>
  <si>
    <t>Seadra</t>
  </si>
  <si>
    <t>Kingdra</t>
  </si>
  <si>
    <t>Doubles the effectiveness of Dragon-type resistances.</t>
  </si>
  <si>
    <t>Starmie</t>
  </si>
  <si>
    <t>Gyarados</t>
  </si>
  <si>
    <t>Level 20</t>
  </si>
  <si>
    <t>Normal-type attacks receive double their Same-Type Attack Bonus.</t>
  </si>
  <si>
    <t>Vaporeon</t>
  </si>
  <si>
    <t>Jolteon</t>
  </si>
  <si>
    <t>Thunder Stone</t>
  </si>
  <si>
    <t>Flareon</t>
  </si>
  <si>
    <t>Espeon</t>
  </si>
  <si>
    <t>Dawn Stone</t>
  </si>
  <si>
    <t>Umbreon</t>
  </si>
  <si>
    <t>Dusk Stone</t>
  </si>
  <si>
    <t>Leafeon</t>
  </si>
  <si>
    <t>Glaceon</t>
  </si>
  <si>
    <t>Ice Stone</t>
  </si>
  <si>
    <t>Sylveon</t>
  </si>
  <si>
    <t>Friend Stone</t>
  </si>
  <si>
    <t>Prismatic Type</t>
  </si>
  <si>
    <t>Omastar</t>
  </si>
  <si>
    <t>Kabutops</t>
  </si>
  <si>
    <t>Dragonair</t>
  </si>
  <si>
    <t>Level 38</t>
  </si>
  <si>
    <t>Dragonite</t>
  </si>
  <si>
    <t>Level 62</t>
  </si>
  <si>
    <t>Bayleef</t>
  </si>
  <si>
    <t>Meganium</t>
  </si>
  <si>
    <t>Quilava</t>
  </si>
  <si>
    <t>Typhlosion</t>
  </si>
  <si>
    <t>Croconaw</t>
  </si>
  <si>
    <t>Feraligatr</t>
  </si>
  <si>
    <t>Furret</t>
  </si>
  <si>
    <t>Noctowl</t>
  </si>
  <si>
    <t>t</t>
  </si>
  <si>
    <t>Ariados</t>
  </si>
  <si>
    <t>Flaaffy</t>
  </si>
  <si>
    <t>Level 15</t>
  </si>
  <si>
    <t>Ampharos</t>
  </si>
  <si>
    <t>Jumpluff</t>
  </si>
  <si>
    <t>Skiploom</t>
  </si>
  <si>
    <t>Level 14</t>
  </si>
  <si>
    <t>Quagsire</t>
  </si>
  <si>
    <t>TM/Tutor/Egg</t>
  </si>
  <si>
    <t>Weavile</t>
  </si>
  <si>
    <t>Razor Claw</t>
  </si>
  <si>
    <t>Piloswine</t>
  </si>
  <si>
    <t>Mamoswine</t>
  </si>
  <si>
    <t>Level 33</t>
  </si>
  <si>
    <t>Pupitar</t>
  </si>
  <si>
    <t>Grovyle</t>
  </si>
  <si>
    <t>Combusken</t>
  </si>
  <si>
    <t>Blaziken</t>
  </si>
  <si>
    <t>Sceptile</t>
  </si>
  <si>
    <t>Marshtomp</t>
  </si>
  <si>
    <t>Swampert</t>
  </si>
  <si>
    <t>Swellow</t>
  </si>
  <si>
    <t>Pelipper</t>
  </si>
  <si>
    <t>Kirlia</t>
  </si>
  <si>
    <t>Gardevoir</t>
  </si>
  <si>
    <t>Female</t>
  </si>
  <si>
    <t>Male</t>
  </si>
  <si>
    <t>Hariyama</t>
  </si>
  <si>
    <t>Stats cannot be lowered in battle.</t>
  </si>
  <si>
    <t>Lairon</t>
  </si>
  <si>
    <t>Aggron</t>
  </si>
  <si>
    <t>Level 48</t>
  </si>
  <si>
    <t>Vibrava</t>
  </si>
  <si>
    <t>Level 35</t>
  </si>
  <si>
    <t>Flygon</t>
  </si>
  <si>
    <t>Level 58</t>
  </si>
  <si>
    <t>Altaria</t>
  </si>
  <si>
    <t>Cradily</t>
  </si>
  <si>
    <t>Salamence</t>
  </si>
  <si>
    <t>Level 60</t>
  </si>
  <si>
    <t>Shelgon</t>
  </si>
  <si>
    <t>Metang</t>
  </si>
  <si>
    <t>Metagross</t>
  </si>
  <si>
    <t>Level 52</t>
  </si>
  <si>
    <t>Luxio</t>
  </si>
  <si>
    <t>Luxray</t>
  </si>
  <si>
    <t>Gabite</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</si>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</sst>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u/>
      <color rgb="FF0000FF"/>
    </font>
    <font>
      <b/>
      <color theme="1"/>
      <name val="Arial"/>
      <scheme val="minor"/>
    </font>
    <font>
      <color rgb="FFFFFFFF"/>
      <name val="Arial"/>
      <scheme val="minor"/>
    </font>
    <font>
      <color rgb="FF000000"/>
      <name val="Arial"/>
      <scheme val="minor"/>
    </font>
    <font>
      <color theme="0"/>
      <name val="Arial"/>
      <scheme val="minor"/>
    </font>
    <font>
      <color rgb="FFFFFFFF"/>
      <name val="Arial"/>
    </font>
    <font/>
    <font>
      <color theme="1"/>
      <name val="Arial"/>
    </font>
    <font>
      <b/>
      <sz val="16.0"/>
      <color rgb="FFFFFFFF"/>
      <name val="Arial"/>
    </font>
    <font>
      <color rgb="FF172033"/>
      <name val="Arial"/>
    </font>
    <font>
      <b/>
      <color rgb="FFFFFFFF"/>
      <name val="Arial"/>
    </font>
    <font>
      <b/>
      <color rgb="FF172033"/>
      <name val="Arial"/>
    </font>
    <font>
      <color rgb="FF705220"/>
      <name val="Arial"/>
    </font>
    <font>
      <b/>
      <color rgb="FF705220"/>
      <name val="Arial"/>
    </font>
    <font>
      <b/>
      <sz val="20.0"/>
      <color theme="1"/>
      <name val="Arial"/>
      <scheme val="minor"/>
    </font>
    <font>
      <b/>
      <sz val="20.0"/>
      <color theme="1"/>
      <name val="Arial"/>
    </font>
    <font>
      <b/>
      <u/>
      <color theme="1"/>
      <name val="Arial"/>
      <scheme val="minor"/>
    </font>
  </fonts>
  <fills count="27">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1FA503"/>
        <bgColor rgb="FF1FA503"/>
      </patternFill>
    </fill>
    <fill>
      <patternFill patternType="solid">
        <fgColor rgb="FF3FA129"/>
        <bgColor rgb="FF3FA129"/>
      </patternFill>
    </fill>
    <fill>
      <patternFill patternType="solid">
        <fgColor rgb="FF915121"/>
        <bgColor rgb="FF915121"/>
      </patternFill>
    </fill>
    <fill>
      <patternFill patternType="solid">
        <fgColor rgb="FFE5000D"/>
        <bgColor rgb="FFE5000D"/>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000000"/>
        <bgColor rgb="FF000000"/>
      </patternFill>
    </fill>
    <fill>
      <patternFill patternType="solid">
        <fgColor rgb="FF2980EF"/>
        <bgColor rgb="FF2980EF"/>
      </patternFill>
    </fill>
    <fill>
      <patternFill patternType="solid">
        <fgColor rgb="FF24354D"/>
        <bgColor rgb="FF24354D"/>
      </patternFill>
    </fill>
    <fill>
      <patternFill patternType="solid">
        <fgColor rgb="FFFFFFFF"/>
        <bgColor rgb="FFFFFFFF"/>
      </patternFill>
    </fill>
    <fill>
      <patternFill patternType="solid">
        <fgColor rgb="FFDCE6F1"/>
        <bgColor rgb="FFDCE6F1"/>
      </patternFill>
    </fill>
    <fill>
      <patternFill patternType="solid">
        <fgColor rgb="FFFFF2CC"/>
        <bgColor rgb="FFFFF2CC"/>
      </patternFill>
    </fill>
  </fills>
  <borders count="13">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center" readingOrder="0"/>
    </xf>
    <xf borderId="0" fillId="2" fontId="4" numFmtId="0" xfId="0" applyAlignment="1" applyFill="1" applyFont="1">
      <alignment horizontal="center" readingOrder="0"/>
    </xf>
    <xf borderId="0" fillId="0" fontId="1" numFmtId="0" xfId="0" applyAlignment="1" applyFont="1">
      <alignment horizontal="center" readingOrder="0"/>
    </xf>
    <xf borderId="0" fillId="3" fontId="4" numFmtId="0" xfId="0" applyAlignment="1" applyFill="1" applyFont="1">
      <alignment horizontal="center" readingOrder="0"/>
    </xf>
    <xf borderId="0" fillId="4" fontId="4" numFmtId="0" xfId="0" applyAlignment="1" applyFill="1" applyFont="1">
      <alignment horizontal="center" readingOrder="0"/>
    </xf>
    <xf borderId="0" fillId="5" fontId="4" numFmtId="0" xfId="0" applyAlignment="1" applyFill="1" applyFont="1">
      <alignment horizontal="center" readingOrder="0"/>
    </xf>
    <xf borderId="0" fillId="0" fontId="3" numFmtId="0" xfId="0" applyFont="1"/>
    <xf borderId="0" fillId="6" fontId="4" numFmtId="0" xfId="0" applyAlignment="1" applyFill="1" applyFont="1">
      <alignment horizontal="center" readingOrder="0"/>
    </xf>
    <xf borderId="0" fillId="7" fontId="4" numFmtId="0" xfId="0" applyAlignment="1" applyFill="1" applyFont="1">
      <alignment horizontal="center" readingOrder="0"/>
    </xf>
    <xf borderId="0" fillId="8" fontId="4" numFmtId="0" xfId="0" applyAlignment="1" applyFill="1" applyFont="1">
      <alignment horizontal="center" readingOrder="0"/>
    </xf>
    <xf borderId="1" fillId="0" fontId="5" numFmtId="0" xfId="0" applyAlignment="1" applyBorder="1" applyFont="1">
      <alignment vertical="top"/>
    </xf>
    <xf borderId="0" fillId="9" fontId="6" numFmtId="0" xfId="0" applyAlignment="1" applyFill="1" applyFont="1">
      <alignment horizontal="center" readingOrder="0"/>
    </xf>
    <xf borderId="0" fillId="10" fontId="4" numFmtId="0" xfId="0" applyAlignment="1" applyFill="1" applyFont="1">
      <alignment horizontal="center" readingOrder="0"/>
    </xf>
    <xf borderId="2" fillId="11" fontId="5" numFmtId="0" xfId="0" applyAlignment="1" applyBorder="1" applyFill="1" applyFont="1">
      <alignment vertical="top"/>
    </xf>
    <xf borderId="0" fillId="12" fontId="4" numFmtId="0" xfId="0" applyAlignment="1" applyFill="1" applyFont="1">
      <alignment horizontal="center" readingOrder="0"/>
    </xf>
    <xf borderId="2" fillId="0" fontId="5" numFmtId="0" xfId="0" applyAlignment="1" applyBorder="1" applyFont="1">
      <alignment vertical="top"/>
    </xf>
    <xf borderId="0" fillId="13" fontId="7" numFmtId="0" xfId="0" applyAlignment="1" applyFill="1" applyFont="1">
      <alignment horizontal="center" vertical="bottom"/>
    </xf>
    <xf borderId="2" fillId="14" fontId="5" numFmtId="0" xfId="0" applyAlignment="1" applyBorder="1" applyFill="1" applyFont="1">
      <alignment vertical="top"/>
    </xf>
    <xf borderId="0" fillId="15" fontId="4" numFmtId="0" xfId="0" applyAlignment="1" applyFill="1" applyFont="1">
      <alignment horizontal="center" readingOrder="0"/>
    </xf>
    <xf borderId="0" fillId="16" fontId="4" numFmtId="0" xfId="0" applyAlignment="1" applyFill="1" applyFont="1">
      <alignment horizontal="center" readingOrder="0"/>
    </xf>
    <xf borderId="3" fillId="0" fontId="5" numFmtId="0" xfId="0" applyAlignment="1" applyBorder="1" applyFont="1">
      <alignment vertical="top"/>
    </xf>
    <xf borderId="0" fillId="17" fontId="4" numFmtId="0" xfId="0" applyAlignment="1" applyFill="1" applyFont="1">
      <alignment horizontal="center" readingOrder="0"/>
    </xf>
    <xf borderId="4" fillId="14" fontId="5" numFmtId="0" xfId="0" applyAlignment="1" applyBorder="1" applyFill="1" applyFont="1">
      <alignment vertical="top"/>
    </xf>
    <xf borderId="0" fillId="18" fontId="7" numFmtId="0" xfId="0" applyAlignment="1" applyFill="1" applyFont="1">
      <alignment horizontal="center" vertical="bottom"/>
    </xf>
    <xf borderId="4" fillId="0" fontId="5" numFmtId="0" xfId="0" applyAlignment="1" applyBorder="1" applyFont="1">
      <alignment vertical="top"/>
    </xf>
    <xf borderId="0" fillId="19" fontId="7" numFmtId="0" xfId="0" applyAlignment="1" applyFill="1" applyFont="1">
      <alignment horizontal="center" vertical="bottom"/>
    </xf>
    <xf borderId="4" fillId="11" fontId="5" numFmtId="0" xfId="0" applyAlignment="1" applyBorder="1" applyFill="1" applyFont="1">
      <alignment vertical="top"/>
    </xf>
    <xf borderId="0" fillId="20" fontId="4" numFmtId="0" xfId="0" applyAlignment="1" applyFill="1" applyFont="1">
      <alignment horizontal="center" readingOrder="0"/>
    </xf>
    <xf borderId="4" fillId="21" fontId="5" numFmtId="0" xfId="0" applyAlignment="1" applyBorder="1" applyFill="1" applyFont="1">
      <alignment vertical="top"/>
    </xf>
    <xf borderId="0" fillId="22" fontId="4" numFmtId="0" xfId="0" applyAlignment="1" applyFill="1" applyFont="1">
      <alignment horizontal="center" readingOrder="0"/>
    </xf>
    <xf borderId="3" fillId="14" fontId="5" numFmtId="0" xfId="0" applyAlignment="1" applyBorder="1" applyFill="1" applyFont="1">
      <alignment vertical="top"/>
    </xf>
    <xf borderId="3" fillId="11" fontId="5"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0" fontId="3" numFmtId="0" xfId="0" applyAlignment="1" applyFont="1">
      <alignment horizontal="center" readingOrder="0"/>
    </xf>
    <xf borderId="0" fillId="0" fontId="1" numFmtId="0" xfId="0" applyAlignment="1" applyFont="1">
      <alignment horizontal="center"/>
    </xf>
    <xf borderId="0" fillId="9" fontId="4" numFmtId="0" xfId="0" applyAlignment="1" applyFill="1" applyFont="1">
      <alignment horizontal="center" readingOrder="0"/>
    </xf>
    <xf borderId="0" fillId="13" fontId="4" numFmtId="0" xfId="0" applyAlignment="1" applyFill="1" applyFont="1">
      <alignment horizontal="center" readingOrder="0"/>
    </xf>
    <xf borderId="0" fillId="0" fontId="3" numFmtId="0" xfId="0" applyAlignment="1" applyFont="1">
      <alignment horizontal="left" readingOrder="0"/>
    </xf>
    <xf borderId="0" fillId="18" fontId="4" numFmtId="0" xfId="0" applyAlignment="1" applyFill="1" applyFont="1">
      <alignment horizontal="center" readingOrder="0"/>
    </xf>
    <xf borderId="0" fillId="0" fontId="9" numFmtId="0" xfId="0" applyAlignment="1" applyFont="1">
      <alignment horizontal="center" vertical="bottom"/>
    </xf>
    <xf borderId="0" fillId="2" fontId="7" numFmtId="0" xfId="0" applyAlignment="1" applyFill="1" applyFont="1">
      <alignment horizontal="center" vertical="bottom"/>
    </xf>
    <xf borderId="0" fillId="19" fontId="4" numFmtId="0" xfId="0" applyAlignment="1" applyFill="1" applyFont="1">
      <alignment horizontal="center" readingOrder="0"/>
    </xf>
    <xf borderId="0" fillId="0" fontId="9" numFmtId="0" xfId="0" applyAlignment="1" applyFont="1">
      <alignment vertical="bottom"/>
    </xf>
    <xf borderId="0" fillId="9" fontId="7" numFmtId="0" xfId="0" applyAlignment="1" applyFill="1" applyFont="1">
      <alignment horizontal="center" vertical="bottom"/>
    </xf>
    <xf borderId="0" fillId="4" fontId="7" numFmtId="0" xfId="0" applyAlignment="1" applyFill="1" applyFont="1">
      <alignment horizontal="center" vertical="bottom"/>
    </xf>
    <xf borderId="0" fillId="0" fontId="9" numFmtId="0" xfId="0" applyAlignment="1" applyFont="1">
      <alignment horizontal="center" readingOrder="0" vertical="bottom"/>
    </xf>
    <xf borderId="0" fillId="3" fontId="7" numFmtId="0" xfId="0" applyAlignment="1" applyFill="1" applyFont="1">
      <alignment horizontal="center" vertical="bottom"/>
    </xf>
    <xf borderId="0" fillId="0" fontId="9" numFmtId="0" xfId="0" applyAlignment="1" applyFont="1">
      <alignment readingOrder="0" vertical="bottom"/>
    </xf>
    <xf borderId="0" fillId="20" fontId="7" numFmtId="0" xfId="0" applyAlignment="1" applyFill="1" applyFont="1">
      <alignment horizontal="center" vertical="bottom"/>
    </xf>
    <xf borderId="0" fillId="0" fontId="9" numFmtId="0" xfId="0" applyAlignment="1" applyFont="1">
      <alignment horizontal="center" vertical="bottom"/>
    </xf>
    <xf borderId="0" fillId="7" fontId="7" numFmtId="0" xfId="0" applyAlignment="1" applyFill="1" applyFont="1">
      <alignment horizontal="center" vertical="bottom"/>
    </xf>
    <xf borderId="0" fillId="20" fontId="7" numFmtId="0" xfId="0" applyAlignment="1" applyFill="1" applyFont="1">
      <alignment horizontal="center" vertical="bottom"/>
    </xf>
    <xf borderId="0" fillId="22" fontId="7" numFmtId="0" xfId="0" applyAlignment="1" applyFill="1" applyFont="1">
      <alignment horizontal="center" vertical="bottom"/>
    </xf>
    <xf borderId="0" fillId="17" fontId="7" numFmtId="0" xfId="0" applyAlignment="1" applyFill="1" applyFont="1">
      <alignment horizontal="center" vertical="bottom"/>
    </xf>
    <xf borderId="0" fillId="6" fontId="7" numFmtId="0" xfId="0" applyAlignment="1" applyFill="1" applyFont="1">
      <alignment horizontal="center" vertical="bottom"/>
    </xf>
    <xf borderId="0" fillId="6" fontId="7" numFmtId="0" xfId="0" applyAlignment="1" applyFill="1" applyFont="1">
      <alignment horizontal="center" vertical="bottom"/>
    </xf>
    <xf borderId="0" fillId="23" fontId="10" numFmtId="0" xfId="0" applyAlignment="1" applyFill="1" applyFont="1">
      <alignment readingOrder="0" shrinkToFit="0" vertical="top" wrapText="1"/>
    </xf>
    <xf borderId="0" fillId="24" fontId="11" numFmtId="0" xfId="0" applyAlignment="1" applyFill="1" applyFont="1">
      <alignment readingOrder="0" shrinkToFit="0" vertical="top" wrapText="1"/>
    </xf>
    <xf borderId="0" fillId="9" fontId="7" numFmtId="0" xfId="0" applyAlignment="1" applyFill="1" applyFont="1">
      <alignment horizontal="center" vertical="bottom"/>
    </xf>
    <xf borderId="0" fillId="24" fontId="11" numFmtId="0" xfId="0" applyAlignment="1" applyFill="1" applyFont="1">
      <alignment shrinkToFit="0" vertical="top" wrapText="1"/>
    </xf>
    <xf borderId="0" fillId="23" fontId="12" numFmtId="0" xfId="0" applyAlignment="1" applyFill="1" applyFont="1">
      <alignment readingOrder="0" shrinkToFit="0" vertical="top" wrapText="1"/>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24" fontId="13" numFmtId="0" xfId="0" applyAlignment="1" applyFill="1" applyFont="1">
      <alignment readingOrder="0" shrinkToFit="0" vertical="top" wrapText="1"/>
    </xf>
    <xf borderId="0" fillId="24" fontId="11" numFmtId="0" xfId="0" applyAlignment="1" applyFill="1" applyFont="1">
      <alignment horizontal="center" readingOrder="0" shrinkToFit="0" vertical="top" wrapText="1"/>
    </xf>
    <xf borderId="0" fillId="12" fontId="7" numFmtId="0" xfId="0" applyAlignment="1" applyFill="1" applyFont="1">
      <alignment horizontal="center" vertical="bottom"/>
    </xf>
    <xf borderId="0" fillId="0" fontId="9" numFmtId="0" xfId="0" applyAlignment="1" applyFont="1">
      <alignment vertical="bottom"/>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15" fontId="7" numFmtId="0" xfId="0" applyAlignment="1" applyFill="1" applyFont="1">
      <alignment horizontal="center" vertical="bottom"/>
    </xf>
    <xf borderId="0" fillId="16" fontId="7" numFmtId="0" xfId="0" applyAlignment="1" applyFill="1" applyFont="1">
      <alignment horizontal="center" vertical="bottom"/>
    </xf>
    <xf borderId="0" fillId="16" fontId="7" numFmtId="0" xfId="0" applyAlignment="1" applyFill="1" applyFont="1">
      <alignment horizontal="center" vertical="bottom"/>
    </xf>
    <xf borderId="0" fillId="26"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6" fontId="14" numFmtId="0" xfId="0" applyAlignment="1" applyFill="1" applyFont="1">
      <alignment horizontal="center" readingOrder="0" shrinkToFit="0" vertical="top" wrapText="1"/>
    </xf>
    <xf borderId="0" fillId="18" fontId="7" numFmtId="0" xfId="0" applyAlignment="1" applyFill="1" applyFont="1">
      <alignment horizontal="center" vertical="bottom"/>
    </xf>
    <xf borderId="0" fillId="19" fontId="7" numFmtId="0" xfId="0" applyAlignment="1" applyFill="1" applyFont="1">
      <alignment horizontal="center" vertical="bottom"/>
    </xf>
    <xf borderId="0" fillId="0" fontId="16" numFmtId="0" xfId="0" applyAlignment="1" applyFont="1">
      <alignment horizontal="center" readingOrder="0" vertical="center"/>
    </xf>
    <xf borderId="0" fillId="0" fontId="9" numFmtId="0" xfId="0" applyAlignment="1" applyFont="1">
      <alignment shrinkToFit="0" vertical="bottom" wrapText="1"/>
    </xf>
    <xf borderId="0" fillId="0" fontId="9" numFmtId="0" xfId="0" applyAlignment="1" applyFont="1">
      <alignment horizontal="right" vertical="bottom"/>
    </xf>
    <xf borderId="0" fillId="0" fontId="16" numFmtId="0" xfId="0" applyAlignment="1" applyFont="1">
      <alignment horizontal="center" readingOrder="0"/>
    </xf>
    <xf borderId="0" fillId="12" fontId="7" numFmtId="0" xfId="0" applyAlignment="1" applyFill="1" applyFont="1">
      <alignment horizontal="center" vertical="bottom"/>
    </xf>
    <xf borderId="0" fillId="0" fontId="9" numFmtId="0" xfId="0" applyAlignment="1" applyFont="1">
      <alignment horizontal="right" readingOrder="0" vertical="bottom"/>
    </xf>
    <xf borderId="0" fillId="5" fontId="7" numFmtId="0" xfId="0" applyAlignment="1" applyFill="1" applyFont="1">
      <alignment horizontal="center" vertical="bottom"/>
    </xf>
    <xf borderId="0" fillId="7" fontId="7" numFmtId="0" xfId="0" applyAlignment="1" applyFill="1" applyFont="1">
      <alignment horizontal="center" readingOrder="0" vertical="bottom"/>
    </xf>
    <xf borderId="0" fillId="0" fontId="9" numFmtId="0" xfId="0" applyAlignment="1" applyFont="1">
      <alignment horizontal="right" vertical="bottom"/>
    </xf>
    <xf borderId="0" fillId="0" fontId="1" numFmtId="0" xfId="0" applyAlignment="1" applyFont="1">
      <alignment horizontal="right" readingOrder="0"/>
    </xf>
    <xf borderId="0" fillId="2" fontId="7" numFmtId="0" xfId="0" applyAlignment="1" applyFill="1" applyFont="1">
      <alignment horizontal="center" vertical="bottom"/>
    </xf>
    <xf borderId="0" fillId="0" fontId="9" numFmtId="0" xfId="0" applyAlignment="1" applyFont="1">
      <alignment readingOrder="0" shrinkToFit="0" vertical="bottom" wrapText="1"/>
    </xf>
    <xf borderId="0" fillId="8" fontId="7" numFmtId="0" xfId="0" applyAlignment="1" applyFill="1" applyFont="1">
      <alignment horizontal="center" vertical="bottom"/>
    </xf>
    <xf borderId="0" fillId="8" fontId="7" numFmtId="0" xfId="0" applyAlignment="1" applyFill="1" applyFont="1">
      <alignment horizontal="center" vertical="bottom"/>
    </xf>
    <xf borderId="0" fillId="4" fontId="7" numFmtId="0" xfId="0" applyAlignment="1" applyFill="1" applyFont="1">
      <alignment horizontal="center" vertical="bottom"/>
    </xf>
    <xf borderId="0" fillId="0" fontId="17" numFmtId="0" xfId="0" applyAlignment="1" applyFont="1">
      <alignment horizontal="center"/>
    </xf>
    <xf borderId="0" fillId="22" fontId="7" numFmtId="0" xfId="0" applyAlignment="1" applyFill="1" applyFont="1">
      <alignment horizontal="center" vertical="bottom"/>
    </xf>
    <xf borderId="0" fillId="0" fontId="1" numFmtId="0" xfId="0" applyAlignment="1" applyFont="1">
      <alignment readingOrder="0" shrinkToFit="0" wrapText="1"/>
    </xf>
    <xf borderId="0" fillId="13" fontId="7" numFmtId="0" xfId="0" applyAlignment="1" applyFill="1" applyFont="1">
      <alignment horizontal="center" vertical="bottom"/>
    </xf>
    <xf borderId="0" fillId="0" fontId="1" numFmtId="0" xfId="0" applyFont="1"/>
    <xf borderId="0" fillId="3" fontId="7" numFmtId="0" xfId="0" applyAlignment="1" applyFill="1" applyFont="1">
      <alignment horizontal="center" vertical="bottom"/>
    </xf>
    <xf borderId="0" fillId="17" fontId="7" numFmtId="0" xfId="0" applyAlignment="1" applyFill="1" applyFont="1">
      <alignment horizontal="center" vertical="bottom"/>
    </xf>
    <xf borderId="0" fillId="7" fontId="7" numFmtId="0" xfId="0" applyAlignment="1" applyFill="1" applyFont="1">
      <alignment horizontal="center" vertical="bottom"/>
    </xf>
    <xf borderId="0" fillId="0" fontId="18" numFmtId="0" xfId="0" applyAlignment="1" applyFont="1">
      <alignment readingOrder="0"/>
    </xf>
    <xf borderId="0" fillId="0" fontId="1" numFmtId="0" xfId="0" applyAlignment="1" applyFont="1">
      <alignment horizontal="right"/>
    </xf>
    <xf borderId="0" fillId="10" fontId="7" numFmtId="0" xfId="0" applyAlignment="1" applyFill="1" applyFont="1">
      <alignment horizontal="center" vertical="bottom"/>
    </xf>
    <xf borderId="0" fillId="10" fontId="7" numFmtId="0" xfId="0" applyAlignment="1" applyFill="1" applyFont="1">
      <alignment horizontal="center" vertical="bottom"/>
    </xf>
    <xf borderId="0" fillId="15" fontId="7" numFmtId="0" xfId="0" applyAlignment="1" applyFill="1" applyFont="1">
      <alignment horizontal="center" vertical="bottom"/>
    </xf>
    <xf borderId="0" fillId="5" fontId="7"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91" Type="http://schemas.openxmlformats.org/officeDocument/2006/relationships/worksheet" Target="worksheets/sheet187.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89" Type="http://schemas.openxmlformats.org/officeDocument/2006/relationships/worksheet" Target="worksheets/sheet185.xml"/><Relationship Id="rId100" Type="http://schemas.openxmlformats.org/officeDocument/2006/relationships/worksheet" Target="worksheets/sheet96.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1057</v>
      </c>
      <c r="F1" s="89" t="s">
        <v>420</v>
      </c>
      <c r="J1" s="89" t="s">
        <v>1058</v>
      </c>
    </row>
    <row r="3">
      <c r="A3" s="6" t="s">
        <v>1059</v>
      </c>
      <c r="B3" s="6" t="s">
        <v>1060</v>
      </c>
      <c r="C3" s="6" t="s">
        <v>1061</v>
      </c>
      <c r="D3" s="6" t="s">
        <v>1062</v>
      </c>
      <c r="F3" s="1" t="s">
        <v>762</v>
      </c>
      <c r="G3" s="106" t="s">
        <v>763</v>
      </c>
      <c r="J3" s="1" t="s">
        <v>1221</v>
      </c>
      <c r="K3" s="1" t="s">
        <v>1222</v>
      </c>
    </row>
    <row r="4">
      <c r="A4" s="6" t="s">
        <v>1066</v>
      </c>
      <c r="B4" s="6">
        <v>68.0</v>
      </c>
      <c r="C4" s="6">
        <v>65.0</v>
      </c>
      <c r="D4" s="6">
        <f t="shared" ref="D4:D10" si="1">C4-B4</f>
        <v>-3</v>
      </c>
    </row>
    <row r="5">
      <c r="A5" s="6" t="s">
        <v>1067</v>
      </c>
      <c r="B5" s="6">
        <v>90.0</v>
      </c>
      <c r="C5" s="6">
        <v>90.0</v>
      </c>
      <c r="D5" s="6">
        <f t="shared" si="1"/>
        <v>0</v>
      </c>
    </row>
    <row r="6">
      <c r="A6" s="6" t="s">
        <v>1068</v>
      </c>
      <c r="B6" s="6">
        <v>65.0</v>
      </c>
      <c r="C6" s="6">
        <v>65.0</v>
      </c>
      <c r="D6" s="6">
        <f t="shared" si="1"/>
        <v>0</v>
      </c>
    </row>
    <row r="7">
      <c r="A7" s="6" t="s">
        <v>1069</v>
      </c>
      <c r="B7" s="6">
        <v>50.0</v>
      </c>
      <c r="C7" s="6">
        <v>50.0</v>
      </c>
      <c r="D7" s="6">
        <f t="shared" si="1"/>
        <v>0</v>
      </c>
      <c r="F7" s="89" t="s">
        <v>1070</v>
      </c>
    </row>
    <row r="8">
      <c r="A8" s="6" t="s">
        <v>1071</v>
      </c>
      <c r="B8" s="6">
        <v>55.0</v>
      </c>
      <c r="C8" s="6">
        <v>55.0</v>
      </c>
      <c r="D8" s="6">
        <f t="shared" si="1"/>
        <v>0</v>
      </c>
    </row>
    <row r="9">
      <c r="A9" s="6" t="s">
        <v>1072</v>
      </c>
      <c r="B9" s="6">
        <v>82.0</v>
      </c>
      <c r="C9" s="6">
        <v>85.0</v>
      </c>
      <c r="D9" s="6">
        <f t="shared" si="1"/>
        <v>3</v>
      </c>
      <c r="F9" s="6" t="s">
        <v>1073</v>
      </c>
      <c r="G9" s="6" t="s">
        <v>118</v>
      </c>
      <c r="H9" s="6" t="s">
        <v>44</v>
      </c>
      <c r="I9" s="6" t="s">
        <v>229</v>
      </c>
      <c r="J9" s="6" t="s">
        <v>230</v>
      </c>
      <c r="K9" s="6" t="s">
        <v>232</v>
      </c>
      <c r="L9" s="1" t="s">
        <v>234</v>
      </c>
    </row>
    <row r="10">
      <c r="A10" s="6" t="s">
        <v>1074</v>
      </c>
      <c r="B10" s="6">
        <f t="shared" ref="B10:C10" si="2">SUM(B4:B9)</f>
        <v>410</v>
      </c>
      <c r="C10" s="6">
        <f t="shared" si="2"/>
        <v>410</v>
      </c>
      <c r="D10" s="6">
        <f t="shared" si="1"/>
        <v>0</v>
      </c>
      <c r="F10" s="98">
        <v>1.0</v>
      </c>
      <c r="G10" s="6" t="s">
        <v>908</v>
      </c>
      <c r="H10" s="23" t="s">
        <v>78</v>
      </c>
      <c r="I10" s="6">
        <v>35.0</v>
      </c>
      <c r="J10" s="6">
        <v>100.0</v>
      </c>
      <c r="K10" s="6">
        <v>35.0</v>
      </c>
      <c r="L10" s="78"/>
    </row>
    <row r="11">
      <c r="A11" s="92"/>
      <c r="B11" s="92"/>
      <c r="F11" s="1">
        <v>5.0</v>
      </c>
      <c r="G11" s="51" t="s">
        <v>520</v>
      </c>
      <c r="H11" s="107" t="s">
        <v>76</v>
      </c>
      <c r="I11" s="51" t="s">
        <v>267</v>
      </c>
      <c r="J11" s="51">
        <v>100.0</v>
      </c>
      <c r="K11" s="51">
        <v>25.0</v>
      </c>
      <c r="L11" s="59" t="s">
        <v>522</v>
      </c>
    </row>
    <row r="12">
      <c r="A12" s="89" t="s">
        <v>44</v>
      </c>
      <c r="F12" s="1">
        <v>9.0</v>
      </c>
      <c r="G12" s="51" t="s">
        <v>135</v>
      </c>
      <c r="H12" s="56" t="s">
        <v>62</v>
      </c>
      <c r="I12" s="51">
        <v>45.0</v>
      </c>
      <c r="J12" s="51">
        <v>100.0</v>
      </c>
      <c r="K12" s="51">
        <v>25.0</v>
      </c>
      <c r="L12" s="78" t="s">
        <v>312</v>
      </c>
    </row>
    <row r="13">
      <c r="F13" s="1">
        <v>12.0</v>
      </c>
      <c r="G13" s="51" t="s">
        <v>246</v>
      </c>
      <c r="H13" s="29" t="s">
        <v>82</v>
      </c>
      <c r="I13" s="51">
        <v>50.0</v>
      </c>
      <c r="J13" s="51">
        <v>85.0</v>
      </c>
      <c r="K13" s="51">
        <v>15.0</v>
      </c>
      <c r="L13" s="59" t="s">
        <v>1015</v>
      </c>
    </row>
    <row r="14">
      <c r="A14" s="8" t="s">
        <v>62</v>
      </c>
      <c r="B14" s="48" t="s">
        <v>76</v>
      </c>
      <c r="F14" s="1">
        <v>16.0</v>
      </c>
      <c r="G14" s="51" t="s">
        <v>203</v>
      </c>
      <c r="H14" s="107" t="s">
        <v>76</v>
      </c>
      <c r="I14" s="57">
        <v>35.0</v>
      </c>
      <c r="J14" s="57">
        <v>90.0</v>
      </c>
      <c r="K14" s="51">
        <v>20.0</v>
      </c>
      <c r="L14" s="78" t="s">
        <v>389</v>
      </c>
    </row>
    <row r="15">
      <c r="F15" s="98">
        <v>20.0</v>
      </c>
      <c r="G15" s="51" t="s">
        <v>499</v>
      </c>
      <c r="H15" s="107" t="s">
        <v>76</v>
      </c>
      <c r="I15" s="51" t="s">
        <v>267</v>
      </c>
      <c r="J15" s="51">
        <v>100.0</v>
      </c>
      <c r="K15" s="51">
        <v>20.0</v>
      </c>
      <c r="L15" s="78" t="s">
        <v>501</v>
      </c>
    </row>
    <row r="16">
      <c r="F16" s="1">
        <v>24.0</v>
      </c>
      <c r="G16" s="51" t="s">
        <v>1018</v>
      </c>
      <c r="H16" s="29" t="s">
        <v>82</v>
      </c>
      <c r="I16" s="51" t="s">
        <v>267</v>
      </c>
      <c r="J16" s="51" t="s">
        <v>267</v>
      </c>
      <c r="K16" s="51">
        <v>10.0</v>
      </c>
      <c r="L16" s="59" t="s">
        <v>1019</v>
      </c>
    </row>
    <row r="17">
      <c r="F17" s="1">
        <v>28.0</v>
      </c>
      <c r="G17" s="51" t="s">
        <v>493</v>
      </c>
      <c r="H17" s="107" t="s">
        <v>76</v>
      </c>
      <c r="I17" s="51">
        <v>80.0</v>
      </c>
      <c r="J17" s="51">
        <v>100.0</v>
      </c>
      <c r="K17" s="51">
        <v>20.0</v>
      </c>
      <c r="L17" s="59" t="s">
        <v>494</v>
      </c>
    </row>
    <row r="18">
      <c r="F18" s="98" t="s">
        <v>1077</v>
      </c>
      <c r="G18" s="51" t="s">
        <v>1031</v>
      </c>
      <c r="H18" s="60" t="s">
        <v>83</v>
      </c>
      <c r="I18" s="51">
        <v>50.0</v>
      </c>
      <c r="J18" s="51">
        <v>90.0</v>
      </c>
      <c r="K18" s="51">
        <v>30.0</v>
      </c>
      <c r="L18" s="59" t="s">
        <v>1032</v>
      </c>
    </row>
    <row r="19">
      <c r="F19" s="1">
        <v>32.0</v>
      </c>
      <c r="G19" s="51" t="s">
        <v>1031</v>
      </c>
      <c r="H19" s="60" t="s">
        <v>83</v>
      </c>
      <c r="I19" s="51">
        <v>50.0</v>
      </c>
      <c r="J19" s="51">
        <v>90.0</v>
      </c>
      <c r="K19" s="51">
        <v>30.0</v>
      </c>
      <c r="L19" s="59" t="s">
        <v>1032</v>
      </c>
    </row>
    <row r="20">
      <c r="F20" s="1">
        <v>35.0</v>
      </c>
      <c r="G20" s="51" t="s">
        <v>178</v>
      </c>
      <c r="H20" s="55" t="s">
        <v>73</v>
      </c>
      <c r="I20" s="51">
        <v>60.0</v>
      </c>
      <c r="J20" s="51">
        <v>100.0</v>
      </c>
      <c r="K20" s="51">
        <v>20.0</v>
      </c>
      <c r="L20" s="59" t="s">
        <v>280</v>
      </c>
    </row>
    <row r="21">
      <c r="F21" s="1">
        <v>40.0</v>
      </c>
      <c r="G21" s="51" t="s">
        <v>1013</v>
      </c>
      <c r="H21" s="29" t="s">
        <v>82</v>
      </c>
      <c r="I21" s="51">
        <v>75.0</v>
      </c>
      <c r="J21" s="51">
        <v>90.0</v>
      </c>
      <c r="K21" s="57">
        <v>10.0</v>
      </c>
      <c r="L21" s="59" t="s">
        <v>567</v>
      </c>
    </row>
    <row r="22">
      <c r="F22" s="1">
        <v>45.0</v>
      </c>
      <c r="G22" s="51" t="s">
        <v>608</v>
      </c>
      <c r="H22" s="83" t="s">
        <v>78</v>
      </c>
      <c r="I22" s="51">
        <v>85.0</v>
      </c>
      <c r="J22" s="51">
        <v>100.0</v>
      </c>
      <c r="K22" s="51">
        <v>15.0</v>
      </c>
      <c r="L22" s="59" t="s">
        <v>323</v>
      </c>
    </row>
    <row r="23">
      <c r="F23" s="98">
        <v>50.0</v>
      </c>
      <c r="G23" s="51" t="s">
        <v>805</v>
      </c>
      <c r="H23" s="83" t="s">
        <v>78</v>
      </c>
      <c r="I23" s="51" t="s">
        <v>267</v>
      </c>
      <c r="J23" s="51" t="s">
        <v>267</v>
      </c>
      <c r="K23" s="51">
        <v>20.0</v>
      </c>
      <c r="L23" s="59" t="s">
        <v>356</v>
      </c>
    </row>
    <row r="24">
      <c r="F24" s="1">
        <v>55.0</v>
      </c>
      <c r="G24" s="51" t="s">
        <v>133</v>
      </c>
      <c r="H24" s="56" t="s">
        <v>62</v>
      </c>
      <c r="I24" s="51">
        <v>95.0</v>
      </c>
      <c r="J24" s="51">
        <v>100.0</v>
      </c>
      <c r="K24" s="51">
        <v>10.0</v>
      </c>
      <c r="L24" s="78"/>
    </row>
    <row r="25">
      <c r="F25" s="1">
        <v>60.0</v>
      </c>
      <c r="G25" s="51" t="s">
        <v>647</v>
      </c>
      <c r="H25" s="83" t="s">
        <v>78</v>
      </c>
      <c r="I25" s="51">
        <v>120.0</v>
      </c>
      <c r="J25" s="51">
        <v>100.0</v>
      </c>
      <c r="K25" s="51">
        <v>10.0</v>
      </c>
      <c r="L25" s="78" t="s">
        <v>335</v>
      </c>
    </row>
    <row r="30">
      <c r="G30" s="6"/>
      <c r="H30" s="6"/>
      <c r="I30" s="6"/>
      <c r="J30" s="6"/>
      <c r="K30" s="6"/>
    </row>
  </sheetData>
  <mergeCells count="23">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1057</v>
      </c>
      <c r="F1" s="89" t="s">
        <v>420</v>
      </c>
      <c r="J1" s="89" t="s">
        <v>1058</v>
      </c>
    </row>
    <row r="3">
      <c r="A3" s="6" t="s">
        <v>1059</v>
      </c>
      <c r="B3" s="6" t="s">
        <v>1060</v>
      </c>
      <c r="C3" s="6" t="s">
        <v>1061</v>
      </c>
      <c r="D3" s="6" t="s">
        <v>1062</v>
      </c>
      <c r="F3" s="1" t="s">
        <v>762</v>
      </c>
      <c r="G3" s="106" t="s">
        <v>763</v>
      </c>
    </row>
    <row r="4">
      <c r="A4" s="6" t="s">
        <v>1066</v>
      </c>
      <c r="B4" s="6">
        <v>108.0</v>
      </c>
      <c r="C4" s="6">
        <v>110.0</v>
      </c>
      <c r="D4" s="6">
        <f t="shared" ref="D4:D10" si="1">C4-B4</f>
        <v>2</v>
      </c>
    </row>
    <row r="5">
      <c r="A5" s="6" t="s">
        <v>1067</v>
      </c>
      <c r="B5" s="6">
        <v>130.0</v>
      </c>
      <c r="C5" s="6">
        <v>130.0</v>
      </c>
      <c r="D5" s="6">
        <f t="shared" si="1"/>
        <v>0</v>
      </c>
    </row>
    <row r="6">
      <c r="A6" s="6" t="s">
        <v>1068</v>
      </c>
      <c r="B6" s="6">
        <v>95.0</v>
      </c>
      <c r="C6" s="6">
        <v>95.0</v>
      </c>
      <c r="D6" s="6">
        <f t="shared" si="1"/>
        <v>0</v>
      </c>
    </row>
    <row r="7">
      <c r="A7" s="6" t="s">
        <v>1069</v>
      </c>
      <c r="B7" s="6">
        <v>80.0</v>
      </c>
      <c r="C7" s="6">
        <v>80.0</v>
      </c>
      <c r="D7" s="6">
        <f t="shared" si="1"/>
        <v>0</v>
      </c>
      <c r="F7" s="89" t="s">
        <v>1070</v>
      </c>
    </row>
    <row r="8">
      <c r="A8" s="6" t="s">
        <v>1071</v>
      </c>
      <c r="B8" s="6">
        <v>85.0</v>
      </c>
      <c r="C8" s="6">
        <v>80.0</v>
      </c>
      <c r="D8" s="6">
        <f t="shared" si="1"/>
        <v>-5</v>
      </c>
    </row>
    <row r="9">
      <c r="A9" s="6" t="s">
        <v>1072</v>
      </c>
      <c r="B9" s="6">
        <v>102.0</v>
      </c>
      <c r="C9" s="6">
        <v>105.0</v>
      </c>
      <c r="D9" s="6">
        <f t="shared" si="1"/>
        <v>3</v>
      </c>
      <c r="F9" s="6" t="s">
        <v>1073</v>
      </c>
      <c r="G9" s="6" t="s">
        <v>118</v>
      </c>
      <c r="H9" s="6" t="s">
        <v>44</v>
      </c>
      <c r="I9" s="6" t="s">
        <v>229</v>
      </c>
      <c r="J9" s="6" t="s">
        <v>230</v>
      </c>
      <c r="K9" s="6" t="s">
        <v>232</v>
      </c>
      <c r="L9" s="1" t="s">
        <v>234</v>
      </c>
    </row>
    <row r="10">
      <c r="A10" s="6" t="s">
        <v>1074</v>
      </c>
      <c r="B10" s="6">
        <f t="shared" ref="B10:C10" si="2">SUM(B4:B9)</f>
        <v>600</v>
      </c>
      <c r="C10" s="6">
        <f t="shared" si="2"/>
        <v>600</v>
      </c>
      <c r="D10" s="6">
        <f t="shared" si="1"/>
        <v>0</v>
      </c>
      <c r="F10" s="98">
        <v>1.0</v>
      </c>
      <c r="G10" s="6" t="s">
        <v>908</v>
      </c>
      <c r="H10" s="23" t="s">
        <v>78</v>
      </c>
      <c r="I10" s="6">
        <v>35.0</v>
      </c>
      <c r="J10" s="6">
        <v>100.0</v>
      </c>
      <c r="K10" s="6">
        <v>35.0</v>
      </c>
      <c r="L10" s="78"/>
    </row>
    <row r="11">
      <c r="A11" s="92"/>
      <c r="B11" s="92"/>
      <c r="F11" s="1">
        <v>5.0</v>
      </c>
      <c r="G11" s="51" t="s">
        <v>520</v>
      </c>
      <c r="H11" s="107" t="s">
        <v>76</v>
      </c>
      <c r="I11" s="51" t="s">
        <v>267</v>
      </c>
      <c r="J11" s="51">
        <v>100.0</v>
      </c>
      <c r="K11" s="51">
        <v>25.0</v>
      </c>
      <c r="L11" s="59" t="s">
        <v>522</v>
      </c>
    </row>
    <row r="12">
      <c r="A12" s="89" t="s">
        <v>44</v>
      </c>
      <c r="F12" s="1">
        <v>9.0</v>
      </c>
      <c r="G12" s="51" t="s">
        <v>135</v>
      </c>
      <c r="H12" s="56" t="s">
        <v>62</v>
      </c>
      <c r="I12" s="51">
        <v>45.0</v>
      </c>
      <c r="J12" s="51">
        <v>100.0</v>
      </c>
      <c r="K12" s="51">
        <v>25.0</v>
      </c>
      <c r="L12" s="78" t="s">
        <v>312</v>
      </c>
    </row>
    <row r="13">
      <c r="F13" s="1">
        <v>12.0</v>
      </c>
      <c r="G13" s="51" t="s">
        <v>246</v>
      </c>
      <c r="H13" s="29" t="s">
        <v>82</v>
      </c>
      <c r="I13" s="51">
        <v>50.0</v>
      </c>
      <c r="J13" s="51">
        <v>85.0</v>
      </c>
      <c r="K13" s="51">
        <v>15.0</v>
      </c>
      <c r="L13" s="59" t="s">
        <v>1015</v>
      </c>
    </row>
    <row r="14">
      <c r="A14" s="8" t="s">
        <v>62</v>
      </c>
      <c r="B14" s="48" t="s">
        <v>76</v>
      </c>
      <c r="F14" s="1">
        <v>16.0</v>
      </c>
      <c r="G14" s="51" t="s">
        <v>203</v>
      </c>
      <c r="H14" s="107" t="s">
        <v>76</v>
      </c>
      <c r="I14" s="57">
        <v>35.0</v>
      </c>
      <c r="J14" s="57">
        <v>90.0</v>
      </c>
      <c r="K14" s="51">
        <v>20.0</v>
      </c>
      <c r="L14" s="78" t="s">
        <v>389</v>
      </c>
    </row>
    <row r="15">
      <c r="F15" s="98">
        <v>20.0</v>
      </c>
      <c r="G15" s="51" t="s">
        <v>499</v>
      </c>
      <c r="H15" s="107" t="s">
        <v>76</v>
      </c>
      <c r="I15" s="51" t="s">
        <v>267</v>
      </c>
      <c r="J15" s="51">
        <v>100.0</v>
      </c>
      <c r="K15" s="51">
        <v>20.0</v>
      </c>
      <c r="L15" s="78" t="s">
        <v>501</v>
      </c>
    </row>
    <row r="16">
      <c r="F16" s="1">
        <v>24.0</v>
      </c>
      <c r="G16" s="51" t="s">
        <v>1018</v>
      </c>
      <c r="H16" s="29" t="s">
        <v>82</v>
      </c>
      <c r="I16" s="51" t="s">
        <v>267</v>
      </c>
      <c r="J16" s="51" t="s">
        <v>267</v>
      </c>
      <c r="K16" s="51">
        <v>10.0</v>
      </c>
      <c r="L16" s="59" t="s">
        <v>1019</v>
      </c>
    </row>
    <row r="17">
      <c r="F17" s="1">
        <v>28.0</v>
      </c>
      <c r="G17" s="51" t="s">
        <v>493</v>
      </c>
      <c r="H17" s="107" t="s">
        <v>76</v>
      </c>
      <c r="I17" s="51">
        <v>80.0</v>
      </c>
      <c r="J17" s="51">
        <v>100.0</v>
      </c>
      <c r="K17" s="51">
        <v>20.0</v>
      </c>
      <c r="L17" s="59" t="s">
        <v>494</v>
      </c>
    </row>
    <row r="18">
      <c r="F18" s="98" t="s">
        <v>1077</v>
      </c>
      <c r="G18" s="51" t="s">
        <v>1031</v>
      </c>
      <c r="H18" s="60" t="s">
        <v>83</v>
      </c>
      <c r="I18" s="51">
        <v>50.0</v>
      </c>
      <c r="J18" s="51">
        <v>90.0</v>
      </c>
      <c r="K18" s="51">
        <v>30.0</v>
      </c>
      <c r="L18" s="59" t="s">
        <v>1032</v>
      </c>
    </row>
    <row r="19">
      <c r="F19" s="1">
        <v>32.0</v>
      </c>
      <c r="G19" s="51" t="s">
        <v>1031</v>
      </c>
      <c r="H19" s="60" t="s">
        <v>83</v>
      </c>
      <c r="I19" s="51">
        <v>50.0</v>
      </c>
      <c r="J19" s="51">
        <v>90.0</v>
      </c>
      <c r="K19" s="51">
        <v>30.0</v>
      </c>
      <c r="L19" s="59" t="s">
        <v>1032</v>
      </c>
    </row>
    <row r="20">
      <c r="F20" s="1">
        <v>35.0</v>
      </c>
      <c r="G20" s="51" t="s">
        <v>178</v>
      </c>
      <c r="H20" s="55" t="s">
        <v>73</v>
      </c>
      <c r="I20" s="51">
        <v>60.0</v>
      </c>
      <c r="J20" s="51">
        <v>100.0</v>
      </c>
      <c r="K20" s="51">
        <v>20.0</v>
      </c>
      <c r="L20" s="59" t="s">
        <v>280</v>
      </c>
    </row>
    <row r="21">
      <c r="F21" s="1">
        <v>40.0</v>
      </c>
      <c r="G21" s="51" t="s">
        <v>1013</v>
      </c>
      <c r="H21" s="29" t="s">
        <v>82</v>
      </c>
      <c r="I21" s="51">
        <v>75.0</v>
      </c>
      <c r="J21" s="51">
        <v>90.0</v>
      </c>
      <c r="K21" s="57">
        <v>10.0</v>
      </c>
      <c r="L21" s="59" t="s">
        <v>567</v>
      </c>
    </row>
    <row r="22">
      <c r="F22" s="1">
        <v>45.0</v>
      </c>
      <c r="G22" s="51" t="s">
        <v>608</v>
      </c>
      <c r="H22" s="83" t="s">
        <v>78</v>
      </c>
      <c r="I22" s="51">
        <v>85.0</v>
      </c>
      <c r="J22" s="51">
        <v>100.0</v>
      </c>
      <c r="K22" s="51">
        <v>15.0</v>
      </c>
      <c r="L22" s="59" t="s">
        <v>323</v>
      </c>
    </row>
    <row r="23">
      <c r="F23" s="98">
        <v>50.0</v>
      </c>
      <c r="G23" s="51" t="s">
        <v>805</v>
      </c>
      <c r="H23" s="83" t="s">
        <v>78</v>
      </c>
      <c r="I23" s="51" t="s">
        <v>267</v>
      </c>
      <c r="J23" s="51" t="s">
        <v>267</v>
      </c>
      <c r="K23" s="51">
        <v>20.0</v>
      </c>
      <c r="L23" s="59" t="s">
        <v>356</v>
      </c>
    </row>
    <row r="24">
      <c r="F24" s="1">
        <v>55.0</v>
      </c>
      <c r="G24" s="51" t="s">
        <v>133</v>
      </c>
      <c r="H24" s="56" t="s">
        <v>62</v>
      </c>
      <c r="I24" s="51">
        <v>95.0</v>
      </c>
      <c r="J24" s="51">
        <v>100.0</v>
      </c>
      <c r="K24" s="51">
        <v>10.0</v>
      </c>
      <c r="L24" s="78"/>
    </row>
    <row r="25">
      <c r="F25" s="98" t="s">
        <v>1077</v>
      </c>
      <c r="G25" s="51" t="s">
        <v>176</v>
      </c>
      <c r="H25" s="55" t="s">
        <v>73</v>
      </c>
      <c r="I25" s="51">
        <v>100.0</v>
      </c>
      <c r="J25" s="51">
        <v>90.0</v>
      </c>
      <c r="K25" s="51">
        <v>10.0</v>
      </c>
      <c r="L25" s="78" t="s">
        <v>368</v>
      </c>
    </row>
    <row r="26">
      <c r="F26" s="1">
        <v>56.0</v>
      </c>
      <c r="G26" s="51" t="s">
        <v>176</v>
      </c>
      <c r="H26" s="55" t="s">
        <v>73</v>
      </c>
      <c r="I26" s="51">
        <v>100.0</v>
      </c>
      <c r="J26" s="51">
        <v>90.0</v>
      </c>
      <c r="K26" s="51">
        <v>10.0</v>
      </c>
      <c r="L26" s="78" t="s">
        <v>368</v>
      </c>
    </row>
    <row r="27">
      <c r="F27" s="1">
        <v>61.0</v>
      </c>
      <c r="G27" s="51" t="s">
        <v>647</v>
      </c>
      <c r="H27" s="83" t="s">
        <v>78</v>
      </c>
      <c r="I27" s="51">
        <v>120.0</v>
      </c>
      <c r="J27" s="51">
        <v>100.0</v>
      </c>
      <c r="K27" s="51">
        <v>10.0</v>
      </c>
      <c r="L27" s="78" t="s">
        <v>335</v>
      </c>
    </row>
    <row r="28">
      <c r="F28" s="1">
        <v>67.0</v>
      </c>
      <c r="G28" s="6" t="s">
        <v>495</v>
      </c>
      <c r="H28" s="48" t="s">
        <v>76</v>
      </c>
      <c r="I28" s="6">
        <v>100.0</v>
      </c>
      <c r="J28" s="6">
        <v>100.0</v>
      </c>
      <c r="K28" s="6">
        <v>10.0</v>
      </c>
      <c r="L28" s="1" t="s">
        <v>497</v>
      </c>
    </row>
    <row r="29">
      <c r="F29" s="1">
        <v>73.0</v>
      </c>
      <c r="G29" s="61" t="s">
        <v>137</v>
      </c>
      <c r="H29" s="103" t="s">
        <v>62</v>
      </c>
      <c r="I29" s="61">
        <v>120.0</v>
      </c>
      <c r="J29" s="61">
        <v>100.0</v>
      </c>
      <c r="K29" s="61">
        <v>10.0</v>
      </c>
      <c r="L29" s="78" t="s">
        <v>315</v>
      </c>
    </row>
    <row r="32">
      <c r="G32" s="6"/>
      <c r="H32" s="6"/>
      <c r="I32" s="6"/>
      <c r="J32" s="6"/>
      <c r="K32" s="6"/>
    </row>
  </sheetData>
  <mergeCells count="27">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28:O28"/>
    <mergeCell ref="L29:O29"/>
    <mergeCell ref="L17:O17"/>
    <mergeCell ref="L18:O18"/>
    <mergeCell ref="L19:O19"/>
    <mergeCell ref="L20:O20"/>
    <mergeCell ref="L21:O21"/>
    <mergeCell ref="L22:O22"/>
    <mergeCell ref="L23:O23"/>
  </mergeCells>
  <drawing r:id="rId1"/>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1057</v>
      </c>
      <c r="F1" s="89" t="s">
        <v>420</v>
      </c>
      <c r="J1" s="89" t="s">
        <v>1058</v>
      </c>
    </row>
    <row r="3">
      <c r="A3" s="6" t="s">
        <v>1059</v>
      </c>
      <c r="B3" s="6" t="s">
        <v>1060</v>
      </c>
      <c r="C3" s="6" t="s">
        <v>1061</v>
      </c>
      <c r="D3" s="6" t="s">
        <v>1062</v>
      </c>
      <c r="F3" s="1" t="s">
        <v>772</v>
      </c>
      <c r="G3" s="106" t="s">
        <v>773</v>
      </c>
      <c r="J3" s="1" t="s">
        <v>1223</v>
      </c>
      <c r="K3" s="1" t="s">
        <v>1076</v>
      </c>
    </row>
    <row r="4">
      <c r="A4" s="6" t="s">
        <v>1066</v>
      </c>
      <c r="B4" s="6">
        <v>40.0</v>
      </c>
      <c r="C4" s="6">
        <v>40.0</v>
      </c>
      <c r="D4" s="6">
        <f t="shared" ref="D4:D10" si="1">C4-B4</f>
        <v>0</v>
      </c>
    </row>
    <row r="5">
      <c r="A5" s="6" t="s">
        <v>1067</v>
      </c>
      <c r="B5" s="6">
        <v>70.0</v>
      </c>
      <c r="C5" s="6">
        <v>70.0</v>
      </c>
      <c r="D5" s="6">
        <f t="shared" si="1"/>
        <v>0</v>
      </c>
    </row>
    <row r="6">
      <c r="A6" s="6" t="s">
        <v>1068</v>
      </c>
      <c r="B6" s="6">
        <v>40.0</v>
      </c>
      <c r="C6" s="6">
        <v>40.0</v>
      </c>
      <c r="D6" s="6">
        <f t="shared" si="1"/>
        <v>0</v>
      </c>
    </row>
    <row r="7">
      <c r="A7" s="6" t="s">
        <v>1069</v>
      </c>
      <c r="B7" s="6">
        <v>35.0</v>
      </c>
      <c r="C7" s="6">
        <v>35.0</v>
      </c>
      <c r="D7" s="6">
        <f t="shared" si="1"/>
        <v>0</v>
      </c>
      <c r="F7" s="89" t="s">
        <v>1070</v>
      </c>
    </row>
    <row r="8">
      <c r="A8" s="6" t="s">
        <v>1071</v>
      </c>
      <c r="B8" s="6">
        <v>40.0</v>
      </c>
      <c r="C8" s="6">
        <v>40.0</v>
      </c>
      <c r="D8" s="6">
        <f t="shared" si="1"/>
        <v>0</v>
      </c>
    </row>
    <row r="9">
      <c r="A9" s="6" t="s">
        <v>1072</v>
      </c>
      <c r="B9" s="6">
        <v>60.0</v>
      </c>
      <c r="C9" s="6">
        <v>60.0</v>
      </c>
      <c r="D9" s="6">
        <f t="shared" si="1"/>
        <v>0</v>
      </c>
      <c r="F9" s="6" t="s">
        <v>1073</v>
      </c>
      <c r="G9" s="6" t="s">
        <v>118</v>
      </c>
      <c r="H9" s="6" t="s">
        <v>44</v>
      </c>
      <c r="I9" s="6" t="s">
        <v>229</v>
      </c>
      <c r="J9" s="6" t="s">
        <v>230</v>
      </c>
      <c r="K9" s="6" t="s">
        <v>232</v>
      </c>
      <c r="L9" s="1" t="s">
        <v>234</v>
      </c>
    </row>
    <row r="10">
      <c r="A10" s="6" t="s">
        <v>1074</v>
      </c>
      <c r="B10" s="6">
        <f t="shared" ref="B10:C10" si="2">SUM(B4:B9)</f>
        <v>285</v>
      </c>
      <c r="C10" s="6">
        <f t="shared" si="2"/>
        <v>285</v>
      </c>
      <c r="D10" s="6">
        <f t="shared" si="1"/>
        <v>0</v>
      </c>
      <c r="F10" s="98">
        <v>1.0</v>
      </c>
      <c r="G10" s="51" t="s">
        <v>697</v>
      </c>
      <c r="H10" s="83" t="s">
        <v>78</v>
      </c>
      <c r="I10" s="51" t="s">
        <v>267</v>
      </c>
      <c r="J10" s="51" t="s">
        <v>267</v>
      </c>
      <c r="K10" s="51">
        <v>40.0</v>
      </c>
      <c r="L10" s="78" t="s">
        <v>698</v>
      </c>
    </row>
    <row r="11">
      <c r="A11" s="92"/>
      <c r="B11" s="92"/>
      <c r="F11" s="1">
        <v>1.0</v>
      </c>
      <c r="G11" s="51" t="s">
        <v>664</v>
      </c>
      <c r="H11" s="83" t="s">
        <v>78</v>
      </c>
      <c r="I11" s="51" t="s">
        <v>267</v>
      </c>
      <c r="J11" s="51" t="s">
        <v>267</v>
      </c>
      <c r="K11" s="51">
        <v>10.0</v>
      </c>
      <c r="L11" s="54" t="s">
        <v>667</v>
      </c>
    </row>
    <row r="12">
      <c r="A12" s="89" t="s">
        <v>44</v>
      </c>
      <c r="F12" s="1">
        <v>1.0</v>
      </c>
      <c r="G12" s="61" t="s">
        <v>761</v>
      </c>
      <c r="H12" s="82" t="s">
        <v>78</v>
      </c>
      <c r="I12" s="61">
        <v>40.0</v>
      </c>
      <c r="J12" s="61">
        <v>100.0</v>
      </c>
      <c r="K12" s="61">
        <v>35.0</v>
      </c>
      <c r="L12" s="78"/>
    </row>
    <row r="13">
      <c r="F13" s="1">
        <v>5.0</v>
      </c>
      <c r="G13" s="61" t="s">
        <v>360</v>
      </c>
      <c r="H13" s="62" t="s">
        <v>70</v>
      </c>
      <c r="I13" s="61" t="s">
        <v>267</v>
      </c>
      <c r="J13" s="61" t="s">
        <v>267</v>
      </c>
      <c r="K13" s="61">
        <v>5.0</v>
      </c>
      <c r="L13" s="78" t="s">
        <v>361</v>
      </c>
    </row>
    <row r="14">
      <c r="A14" s="12" t="s">
        <v>70</v>
      </c>
      <c r="F14" s="1">
        <v>10.0</v>
      </c>
      <c r="G14" s="51" t="s">
        <v>789</v>
      </c>
      <c r="H14" s="83" t="s">
        <v>78</v>
      </c>
      <c r="I14" s="51">
        <v>40.0</v>
      </c>
      <c r="J14" s="51">
        <v>100.0</v>
      </c>
      <c r="K14" s="51">
        <v>20.0</v>
      </c>
      <c r="L14" s="78" t="s">
        <v>374</v>
      </c>
    </row>
    <row r="15">
      <c r="F15" s="98">
        <v>15.0</v>
      </c>
      <c r="G15" s="51" t="s">
        <v>1031</v>
      </c>
      <c r="H15" s="60" t="s">
        <v>83</v>
      </c>
      <c r="I15" s="51">
        <v>50.0</v>
      </c>
      <c r="J15" s="51">
        <v>90.0</v>
      </c>
      <c r="K15" s="51">
        <v>30.0</v>
      </c>
      <c r="L15" s="78" t="s">
        <v>1032</v>
      </c>
    </row>
    <row r="16">
      <c r="F16" s="1">
        <v>20.0</v>
      </c>
      <c r="G16" s="61" t="s">
        <v>357</v>
      </c>
      <c r="H16" s="62" t="s">
        <v>70</v>
      </c>
      <c r="I16" s="61" t="s">
        <v>267</v>
      </c>
      <c r="J16" s="61">
        <v>100.0</v>
      </c>
      <c r="K16" s="61">
        <v>20.0</v>
      </c>
      <c r="L16" s="78" t="s">
        <v>358</v>
      </c>
    </row>
    <row r="17">
      <c r="F17" s="1">
        <v>25.0</v>
      </c>
      <c r="G17" s="51" t="s">
        <v>157</v>
      </c>
      <c r="H17" s="111" t="s">
        <v>70</v>
      </c>
      <c r="I17" s="51">
        <v>65.0</v>
      </c>
      <c r="J17" s="51">
        <v>100.0</v>
      </c>
      <c r="K17" s="51">
        <v>15.0</v>
      </c>
      <c r="L17" s="54" t="s">
        <v>323</v>
      </c>
    </row>
    <row r="18">
      <c r="F18" s="1">
        <v>30.0</v>
      </c>
      <c r="G18" s="51" t="s">
        <v>817</v>
      </c>
      <c r="H18" s="83" t="s">
        <v>78</v>
      </c>
      <c r="I18" s="51" t="s">
        <v>267</v>
      </c>
      <c r="J18" s="51">
        <v>90.0</v>
      </c>
      <c r="K18" s="51">
        <v>30.0</v>
      </c>
      <c r="L18" s="54" t="s">
        <v>819</v>
      </c>
    </row>
    <row r="19">
      <c r="G19" s="51"/>
      <c r="I19" s="51"/>
      <c r="J19" s="51"/>
      <c r="K19" s="57"/>
      <c r="L19" s="59"/>
    </row>
    <row r="20">
      <c r="G20" s="51"/>
      <c r="I20" s="57"/>
      <c r="J20" s="57"/>
      <c r="K20" s="51"/>
      <c r="L20" s="59"/>
    </row>
    <row r="21">
      <c r="F21" s="98"/>
      <c r="G21" s="51"/>
      <c r="I21" s="51"/>
      <c r="J21" s="51"/>
      <c r="K21" s="51"/>
      <c r="L21" s="59"/>
    </row>
    <row r="22">
      <c r="G22" s="51"/>
      <c r="I22" s="51"/>
      <c r="J22" s="51"/>
      <c r="K22" s="51"/>
      <c r="L22" s="78"/>
    </row>
  </sheetData>
  <mergeCells count="20">
    <mergeCell ref="A1:D2"/>
    <mergeCell ref="F1:H2"/>
    <mergeCell ref="J1:K2"/>
    <mergeCell ref="G3:H6"/>
    <mergeCell ref="F7:O8"/>
    <mergeCell ref="L9:O9"/>
    <mergeCell ref="L10:O10"/>
    <mergeCell ref="L17:O17"/>
    <mergeCell ref="L18:O18"/>
    <mergeCell ref="L19:O19"/>
    <mergeCell ref="L20:O20"/>
    <mergeCell ref="L21:O21"/>
    <mergeCell ref="L22:O22"/>
    <mergeCell ref="L11:O11"/>
    <mergeCell ref="A12:B13"/>
    <mergeCell ref="L12:O12"/>
    <mergeCell ref="L13:O13"/>
    <mergeCell ref="L14:O14"/>
    <mergeCell ref="L15:O15"/>
    <mergeCell ref="L16:O16"/>
  </mergeCells>
  <drawing r:id="rId1"/>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1057</v>
      </c>
      <c r="F1" s="89" t="s">
        <v>420</v>
      </c>
      <c r="J1" s="89" t="s">
        <v>1058</v>
      </c>
    </row>
    <row r="3">
      <c r="A3" s="6" t="s">
        <v>1059</v>
      </c>
      <c r="B3" s="6" t="s">
        <v>1060</v>
      </c>
      <c r="C3" s="6" t="s">
        <v>1061</v>
      </c>
      <c r="D3" s="6" t="s">
        <v>1062</v>
      </c>
      <c r="F3" s="1" t="s">
        <v>772</v>
      </c>
      <c r="G3" s="106" t="s">
        <v>773</v>
      </c>
      <c r="J3" s="1" t="s">
        <v>1223</v>
      </c>
      <c r="K3" s="1" t="s">
        <v>1076</v>
      </c>
    </row>
    <row r="4">
      <c r="A4" s="6" t="s">
        <v>1066</v>
      </c>
      <c r="B4" s="6">
        <v>70.0</v>
      </c>
      <c r="C4" s="6">
        <v>70.0</v>
      </c>
      <c r="D4" s="6">
        <f t="shared" ref="D4:D10" si="1">C4-B4</f>
        <v>0</v>
      </c>
    </row>
    <row r="5">
      <c r="A5" s="6" t="s">
        <v>1067</v>
      </c>
      <c r="B5" s="6">
        <v>110.0</v>
      </c>
      <c r="C5" s="6">
        <v>110.0</v>
      </c>
      <c r="D5" s="6">
        <f t="shared" si="1"/>
        <v>0</v>
      </c>
    </row>
    <row r="6">
      <c r="A6" s="6" t="s">
        <v>1068</v>
      </c>
      <c r="B6" s="6">
        <v>70.0</v>
      </c>
      <c r="C6" s="6">
        <v>70.0</v>
      </c>
      <c r="D6" s="6">
        <f t="shared" si="1"/>
        <v>0</v>
      </c>
    </row>
    <row r="7">
      <c r="A7" s="6" t="s">
        <v>1069</v>
      </c>
      <c r="B7" s="6">
        <v>115.0</v>
      </c>
      <c r="C7" s="6">
        <v>115.0</v>
      </c>
      <c r="D7" s="6">
        <f t="shared" si="1"/>
        <v>0</v>
      </c>
      <c r="F7" s="89" t="s">
        <v>1070</v>
      </c>
    </row>
    <row r="8">
      <c r="A8" s="6" t="s">
        <v>1071</v>
      </c>
      <c r="B8" s="6">
        <v>70.0</v>
      </c>
      <c r="C8" s="6">
        <v>70.0</v>
      </c>
      <c r="D8" s="6">
        <f t="shared" si="1"/>
        <v>0</v>
      </c>
    </row>
    <row r="9">
      <c r="A9" s="6" t="s">
        <v>1072</v>
      </c>
      <c r="B9" s="6">
        <v>90.0</v>
      </c>
      <c r="C9" s="6">
        <v>90.0</v>
      </c>
      <c r="D9" s="6">
        <f t="shared" si="1"/>
        <v>0</v>
      </c>
      <c r="F9" s="6" t="s">
        <v>1073</v>
      </c>
      <c r="G9" s="6" t="s">
        <v>118</v>
      </c>
      <c r="H9" s="6" t="s">
        <v>44</v>
      </c>
      <c r="I9" s="6" t="s">
        <v>229</v>
      </c>
      <c r="J9" s="6" t="s">
        <v>230</v>
      </c>
      <c r="K9" s="6" t="s">
        <v>232</v>
      </c>
      <c r="L9" s="1" t="s">
        <v>234</v>
      </c>
    </row>
    <row r="10">
      <c r="A10" s="6" t="s">
        <v>1074</v>
      </c>
      <c r="B10" s="6">
        <f t="shared" ref="B10:C10" si="2">SUM(B4:B9)</f>
        <v>525</v>
      </c>
      <c r="C10" s="6">
        <f t="shared" si="2"/>
        <v>525</v>
      </c>
      <c r="D10" s="6">
        <f t="shared" si="1"/>
        <v>0</v>
      </c>
      <c r="F10" s="98">
        <v>1.0</v>
      </c>
      <c r="G10" s="51" t="s">
        <v>697</v>
      </c>
      <c r="H10" s="83" t="s">
        <v>78</v>
      </c>
      <c r="I10" s="51" t="s">
        <v>267</v>
      </c>
      <c r="J10" s="51" t="s">
        <v>267</v>
      </c>
      <c r="K10" s="51">
        <v>40.0</v>
      </c>
      <c r="L10" s="78" t="s">
        <v>698</v>
      </c>
    </row>
    <row r="11">
      <c r="A11" s="92"/>
      <c r="B11" s="92"/>
      <c r="F11" s="1">
        <v>1.0</v>
      </c>
      <c r="G11" s="51" t="s">
        <v>664</v>
      </c>
      <c r="H11" s="83" t="s">
        <v>78</v>
      </c>
      <c r="I11" s="51" t="s">
        <v>267</v>
      </c>
      <c r="J11" s="51" t="s">
        <v>267</v>
      </c>
      <c r="K11" s="51">
        <v>10.0</v>
      </c>
      <c r="L11" s="54" t="s">
        <v>667</v>
      </c>
    </row>
    <row r="12">
      <c r="A12" s="89" t="s">
        <v>44</v>
      </c>
      <c r="F12" s="1">
        <v>1.0</v>
      </c>
      <c r="G12" s="61" t="s">
        <v>761</v>
      </c>
      <c r="H12" s="82" t="s">
        <v>78</v>
      </c>
      <c r="I12" s="61">
        <v>40.0</v>
      </c>
      <c r="J12" s="61">
        <v>100.0</v>
      </c>
      <c r="K12" s="61">
        <v>35.0</v>
      </c>
      <c r="L12" s="78"/>
    </row>
    <row r="13">
      <c r="F13" s="1">
        <v>5.0</v>
      </c>
      <c r="G13" s="61" t="s">
        <v>360</v>
      </c>
      <c r="H13" s="62" t="s">
        <v>70</v>
      </c>
      <c r="I13" s="61" t="s">
        <v>267</v>
      </c>
      <c r="J13" s="61" t="s">
        <v>267</v>
      </c>
      <c r="K13" s="61">
        <v>5.0</v>
      </c>
      <c r="L13" s="78" t="s">
        <v>361</v>
      </c>
    </row>
    <row r="14">
      <c r="A14" s="12" t="s">
        <v>70</v>
      </c>
      <c r="B14" s="60" t="s">
        <v>83</v>
      </c>
      <c r="F14" s="1">
        <v>10.0</v>
      </c>
      <c r="G14" s="51" t="s">
        <v>789</v>
      </c>
      <c r="H14" s="83" t="s">
        <v>78</v>
      </c>
      <c r="I14" s="51">
        <v>40.0</v>
      </c>
      <c r="J14" s="51">
        <v>100.0</v>
      </c>
      <c r="K14" s="51">
        <v>20.0</v>
      </c>
      <c r="L14" s="78" t="s">
        <v>374</v>
      </c>
    </row>
    <row r="15">
      <c r="F15" s="98">
        <v>15.0</v>
      </c>
      <c r="G15" s="51" t="s">
        <v>1031</v>
      </c>
      <c r="H15" s="60" t="s">
        <v>83</v>
      </c>
      <c r="I15" s="51">
        <v>50.0</v>
      </c>
      <c r="J15" s="51">
        <v>90.0</v>
      </c>
      <c r="K15" s="51">
        <v>30.0</v>
      </c>
      <c r="L15" s="78" t="s">
        <v>1032</v>
      </c>
    </row>
    <row r="16">
      <c r="F16" s="1">
        <v>20.0</v>
      </c>
      <c r="G16" s="61" t="s">
        <v>357</v>
      </c>
      <c r="H16" s="62" t="s">
        <v>70</v>
      </c>
      <c r="I16" s="61" t="s">
        <v>267</v>
      </c>
      <c r="J16" s="61">
        <v>100.0</v>
      </c>
      <c r="K16" s="61">
        <v>20.0</v>
      </c>
      <c r="L16" s="78" t="s">
        <v>358</v>
      </c>
    </row>
    <row r="17">
      <c r="F17" s="1">
        <v>25.0</v>
      </c>
      <c r="G17" s="51" t="s">
        <v>157</v>
      </c>
      <c r="H17" s="111" t="s">
        <v>70</v>
      </c>
      <c r="I17" s="51">
        <v>65.0</v>
      </c>
      <c r="J17" s="51">
        <v>100.0</v>
      </c>
      <c r="K17" s="51">
        <v>15.0</v>
      </c>
      <c r="L17" s="54" t="s">
        <v>323</v>
      </c>
    </row>
    <row r="18">
      <c r="F18" s="1">
        <v>30.0</v>
      </c>
      <c r="G18" s="51" t="s">
        <v>817</v>
      </c>
      <c r="H18" s="83" t="s">
        <v>78</v>
      </c>
      <c r="I18" s="51" t="s">
        <v>267</v>
      </c>
      <c r="J18" s="51">
        <v>90.0</v>
      </c>
      <c r="K18" s="51">
        <v>30.0</v>
      </c>
      <c r="L18" s="54" t="s">
        <v>819</v>
      </c>
    </row>
    <row r="19">
      <c r="F19" s="98" t="s">
        <v>1077</v>
      </c>
      <c r="G19" s="61" t="s">
        <v>351</v>
      </c>
      <c r="H19" s="62" t="s">
        <v>70</v>
      </c>
      <c r="I19" s="61">
        <v>80.0</v>
      </c>
      <c r="J19" s="61" t="s">
        <v>267</v>
      </c>
      <c r="K19" s="61">
        <v>15.0</v>
      </c>
      <c r="L19" s="78" t="s">
        <v>352</v>
      </c>
    </row>
    <row r="20">
      <c r="F20" s="1">
        <v>36.0</v>
      </c>
      <c r="G20" s="61" t="s">
        <v>351</v>
      </c>
      <c r="H20" s="62" t="s">
        <v>70</v>
      </c>
      <c r="I20" s="61">
        <v>80.0</v>
      </c>
      <c r="J20" s="61" t="s">
        <v>267</v>
      </c>
      <c r="K20" s="61">
        <v>15.0</v>
      </c>
      <c r="L20" s="78" t="s">
        <v>352</v>
      </c>
    </row>
    <row r="21">
      <c r="F21" s="98">
        <v>42.0</v>
      </c>
      <c r="G21" s="51" t="s">
        <v>143</v>
      </c>
      <c r="H21" s="95" t="s">
        <v>68</v>
      </c>
      <c r="I21" s="51">
        <v>75.0</v>
      </c>
      <c r="J21" s="51">
        <v>100.0</v>
      </c>
      <c r="K21" s="51">
        <v>20.0</v>
      </c>
      <c r="L21" s="54" t="s">
        <v>334</v>
      </c>
    </row>
    <row r="22">
      <c r="F22" s="1">
        <v>42.0</v>
      </c>
      <c r="G22" s="51" t="s">
        <v>167</v>
      </c>
      <c r="H22" s="101" t="s">
        <v>72</v>
      </c>
      <c r="I22" s="51">
        <v>75.0</v>
      </c>
      <c r="J22" s="51">
        <v>100.0</v>
      </c>
      <c r="K22" s="51">
        <v>20.0</v>
      </c>
      <c r="L22" s="78" t="s">
        <v>388</v>
      </c>
    </row>
    <row r="23">
      <c r="F23" s="1">
        <v>42.0</v>
      </c>
      <c r="G23" s="51" t="s">
        <v>561</v>
      </c>
      <c r="H23" s="81" t="s">
        <v>77</v>
      </c>
      <c r="I23" s="51">
        <v>75.0</v>
      </c>
      <c r="J23" s="51">
        <v>100.0</v>
      </c>
      <c r="K23" s="51">
        <v>20.0</v>
      </c>
      <c r="L23" s="78" t="s">
        <v>555</v>
      </c>
    </row>
    <row r="24">
      <c r="F24" s="1">
        <v>48.0</v>
      </c>
      <c r="G24" s="61" t="s">
        <v>1021</v>
      </c>
      <c r="H24" s="63" t="s">
        <v>83</v>
      </c>
      <c r="I24" s="61">
        <v>20.0</v>
      </c>
      <c r="J24" s="61">
        <v>100.0</v>
      </c>
      <c r="K24" s="61">
        <v>15.0</v>
      </c>
      <c r="L24" s="78" t="s">
        <v>350</v>
      </c>
    </row>
    <row r="25">
      <c r="F25" s="1">
        <v>54.0</v>
      </c>
      <c r="G25" s="51" t="s">
        <v>160</v>
      </c>
      <c r="H25" s="62" t="s">
        <v>70</v>
      </c>
      <c r="I25" s="51">
        <v>100.0</v>
      </c>
      <c r="J25" s="51">
        <v>85.0</v>
      </c>
      <c r="K25" s="51">
        <v>10.0</v>
      </c>
      <c r="L25" s="78" t="s">
        <v>381</v>
      </c>
    </row>
    <row r="26">
      <c r="F26" s="1">
        <v>60.0</v>
      </c>
      <c r="G26" s="61" t="s">
        <v>286</v>
      </c>
      <c r="H26" s="103" t="s">
        <v>62</v>
      </c>
      <c r="I26" s="61">
        <v>90.0</v>
      </c>
      <c r="J26" s="61">
        <v>100.0</v>
      </c>
      <c r="K26" s="61">
        <v>10.0</v>
      </c>
      <c r="L26" s="78" t="s">
        <v>310</v>
      </c>
    </row>
    <row r="27">
      <c r="F27" s="1">
        <v>66.0</v>
      </c>
      <c r="G27" s="51" t="s">
        <v>491</v>
      </c>
      <c r="H27" s="20" t="s">
        <v>76</v>
      </c>
      <c r="I27" s="51">
        <v>50.0</v>
      </c>
      <c r="J27" s="51">
        <v>100.0</v>
      </c>
      <c r="K27" s="51">
        <v>10.0</v>
      </c>
      <c r="L27" s="54" t="s">
        <v>374</v>
      </c>
    </row>
    <row r="28">
      <c r="F28" s="1">
        <v>72.0</v>
      </c>
      <c r="G28" s="61" t="s">
        <v>161</v>
      </c>
      <c r="H28" s="62" t="s">
        <v>70</v>
      </c>
      <c r="I28" s="61">
        <v>120.0</v>
      </c>
      <c r="J28" s="61">
        <v>100.0</v>
      </c>
      <c r="K28" s="61">
        <v>5.0</v>
      </c>
      <c r="L28" s="78" t="s">
        <v>383</v>
      </c>
    </row>
    <row r="29">
      <c r="F29" s="1">
        <v>78.0</v>
      </c>
      <c r="G29" s="61" t="s">
        <v>677</v>
      </c>
      <c r="H29" s="82" t="s">
        <v>78</v>
      </c>
      <c r="I29" s="61">
        <v>80.0</v>
      </c>
      <c r="J29" s="61">
        <v>100.0</v>
      </c>
      <c r="K29" s="61">
        <v>5.0</v>
      </c>
      <c r="L29" s="78" t="s">
        <v>678</v>
      </c>
    </row>
    <row r="31">
      <c r="F31" s="98" t="s">
        <v>1182</v>
      </c>
      <c r="G31" s="61" t="s">
        <v>364</v>
      </c>
      <c r="H31" s="62" t="s">
        <v>70</v>
      </c>
      <c r="I31" s="61">
        <v>100.0</v>
      </c>
      <c r="J31" s="61">
        <v>70.0</v>
      </c>
      <c r="K31" s="61">
        <v>5.0</v>
      </c>
      <c r="L31" s="78" t="s">
        <v>365</v>
      </c>
    </row>
    <row r="32">
      <c r="F32" s="98" t="s">
        <v>1182</v>
      </c>
      <c r="G32" s="61" t="s">
        <v>156</v>
      </c>
      <c r="H32" s="62" t="s">
        <v>70</v>
      </c>
      <c r="I32" s="61">
        <v>150.0</v>
      </c>
      <c r="J32" s="61">
        <v>100.0</v>
      </c>
      <c r="K32" s="61">
        <v>20.0</v>
      </c>
      <c r="L32" s="78" t="s">
        <v>366</v>
      </c>
    </row>
    <row r="33">
      <c r="F33" s="98" t="s">
        <v>1182</v>
      </c>
      <c r="G33" s="61" t="s">
        <v>367</v>
      </c>
      <c r="H33" s="62" t="s">
        <v>70</v>
      </c>
      <c r="I33" s="61">
        <v>110.0</v>
      </c>
      <c r="J33" s="61">
        <v>80.0</v>
      </c>
      <c r="K33" s="61">
        <v>10.0</v>
      </c>
      <c r="L33" s="78" t="s">
        <v>368</v>
      </c>
    </row>
    <row r="34">
      <c r="F34" s="98" t="s">
        <v>1182</v>
      </c>
      <c r="G34" s="61" t="s">
        <v>373</v>
      </c>
      <c r="H34" s="62" t="s">
        <v>70</v>
      </c>
      <c r="I34" s="61">
        <v>45.0</v>
      </c>
      <c r="J34" s="61">
        <v>100.0</v>
      </c>
      <c r="K34" s="61">
        <v>20.0</v>
      </c>
      <c r="L34" s="78" t="s">
        <v>374</v>
      </c>
    </row>
    <row r="35">
      <c r="F35" s="98" t="s">
        <v>1182</v>
      </c>
      <c r="G35" s="61" t="s">
        <v>162</v>
      </c>
      <c r="H35" s="101" t="s">
        <v>72</v>
      </c>
      <c r="I35" s="61">
        <v>105.0</v>
      </c>
      <c r="J35" s="61">
        <v>100.0</v>
      </c>
      <c r="K35" s="61">
        <v>10.0</v>
      </c>
      <c r="L35" s="78"/>
    </row>
    <row r="36">
      <c r="F36" s="98" t="s">
        <v>1182</v>
      </c>
      <c r="G36" s="61" t="s">
        <v>181</v>
      </c>
      <c r="H36" s="115" t="s">
        <v>74</v>
      </c>
      <c r="I36" s="61">
        <v>80.0</v>
      </c>
      <c r="J36" s="61">
        <v>100.0</v>
      </c>
      <c r="K36" s="61">
        <v>15.0</v>
      </c>
      <c r="L36" s="78" t="s">
        <v>432</v>
      </c>
    </row>
    <row r="37">
      <c r="F37" s="98" t="s">
        <v>1182</v>
      </c>
      <c r="G37" s="61" t="s">
        <v>206</v>
      </c>
      <c r="H37" s="81" t="s">
        <v>77</v>
      </c>
      <c r="I37" s="61">
        <v>100.0</v>
      </c>
      <c r="J37" s="61">
        <v>100.0</v>
      </c>
      <c r="K37" s="61">
        <v>10.0</v>
      </c>
      <c r="L37" s="78" t="s">
        <v>335</v>
      </c>
    </row>
    <row r="38">
      <c r="F38" s="98" t="s">
        <v>1182</v>
      </c>
      <c r="G38" s="61" t="s">
        <v>608</v>
      </c>
      <c r="H38" s="82" t="s">
        <v>78</v>
      </c>
      <c r="I38" s="61">
        <v>85.0</v>
      </c>
      <c r="J38" s="61">
        <v>100.0</v>
      </c>
      <c r="K38" s="61">
        <v>15.0</v>
      </c>
      <c r="L38" s="78" t="s">
        <v>323</v>
      </c>
    </row>
    <row r="39">
      <c r="F39" s="98" t="s">
        <v>1182</v>
      </c>
      <c r="G39" s="61" t="s">
        <v>647</v>
      </c>
      <c r="H39" s="82" t="s">
        <v>78</v>
      </c>
      <c r="I39" s="61">
        <v>120.0</v>
      </c>
      <c r="J39" s="61">
        <v>100.0</v>
      </c>
      <c r="K39" s="61">
        <v>10.0</v>
      </c>
      <c r="L39" s="78" t="s">
        <v>335</v>
      </c>
    </row>
    <row r="40">
      <c r="F40" s="98" t="s">
        <v>1182</v>
      </c>
      <c r="G40" s="61" t="s">
        <v>214</v>
      </c>
      <c r="H40" s="82" t="s">
        <v>78</v>
      </c>
      <c r="I40" s="61">
        <v>40.0</v>
      </c>
      <c r="J40" s="61">
        <v>100.0</v>
      </c>
      <c r="K40" s="61">
        <v>10.0</v>
      </c>
      <c r="L40" s="78" t="s">
        <v>1112</v>
      </c>
    </row>
    <row r="41">
      <c r="F41" s="98" t="s">
        <v>1182</v>
      </c>
      <c r="G41" s="61" t="s">
        <v>726</v>
      </c>
      <c r="H41" s="82" t="s">
        <v>78</v>
      </c>
      <c r="I41" s="61">
        <v>160.0</v>
      </c>
      <c r="J41" s="61">
        <v>80.0</v>
      </c>
      <c r="K41" s="61">
        <v>5.0</v>
      </c>
      <c r="L41" s="78" t="s">
        <v>728</v>
      </c>
    </row>
    <row r="42">
      <c r="F42" s="98" t="s">
        <v>1182</v>
      </c>
      <c r="G42" s="61" t="s">
        <v>992</v>
      </c>
      <c r="H42" s="27" t="s">
        <v>81</v>
      </c>
      <c r="I42" s="61">
        <v>45.0</v>
      </c>
      <c r="J42" s="61">
        <v>100.0</v>
      </c>
      <c r="K42" s="61">
        <v>30.0</v>
      </c>
      <c r="L42" s="78" t="s">
        <v>635</v>
      </c>
    </row>
    <row r="43">
      <c r="F43" s="98" t="s">
        <v>1182</v>
      </c>
      <c r="G43" s="61" t="s">
        <v>244</v>
      </c>
      <c r="H43" s="27" t="s">
        <v>81</v>
      </c>
      <c r="I43" s="61">
        <v>80.0</v>
      </c>
      <c r="J43" s="61">
        <v>100.0</v>
      </c>
      <c r="K43" s="61">
        <v>20.0</v>
      </c>
      <c r="L43" s="78" t="s">
        <v>280</v>
      </c>
    </row>
    <row r="44">
      <c r="F44" s="98" t="s">
        <v>1182</v>
      </c>
      <c r="G44" s="61" t="s">
        <v>1003</v>
      </c>
      <c r="H44" s="27" t="s">
        <v>81</v>
      </c>
      <c r="I44" s="61">
        <v>95.0</v>
      </c>
      <c r="J44" s="61">
        <v>100.0</v>
      </c>
      <c r="K44" s="61">
        <v>10.0</v>
      </c>
      <c r="L44" s="78" t="s">
        <v>475</v>
      </c>
    </row>
    <row r="45">
      <c r="F45" s="98" t="s">
        <v>1182</v>
      </c>
      <c r="G45" s="61" t="s">
        <v>249</v>
      </c>
      <c r="H45" s="63" t="s">
        <v>83</v>
      </c>
      <c r="I45" s="61">
        <v>40.0</v>
      </c>
      <c r="J45" s="61">
        <v>100.0</v>
      </c>
      <c r="K45" s="61">
        <v>20.0</v>
      </c>
      <c r="L45" s="78" t="s">
        <v>374</v>
      </c>
    </row>
    <row r="46">
      <c r="F46" s="98" t="s">
        <v>1182</v>
      </c>
      <c r="G46" s="61" t="s">
        <v>1023</v>
      </c>
      <c r="H46" s="63" t="s">
        <v>83</v>
      </c>
      <c r="I46" s="61">
        <v>90.0</v>
      </c>
      <c r="J46" s="61">
        <v>100.0</v>
      </c>
      <c r="K46" s="61">
        <v>10.0</v>
      </c>
      <c r="L46" s="78" t="s">
        <v>1024</v>
      </c>
    </row>
    <row r="47">
      <c r="F47" s="98" t="s">
        <v>1182</v>
      </c>
      <c r="G47" s="61" t="s">
        <v>314</v>
      </c>
      <c r="H47" s="63" t="s">
        <v>83</v>
      </c>
      <c r="I47" s="61">
        <v>80.0</v>
      </c>
      <c r="J47" s="61">
        <v>100.0</v>
      </c>
      <c r="K47" s="61">
        <v>15.0</v>
      </c>
      <c r="L47" s="78" t="s">
        <v>567</v>
      </c>
    </row>
    <row r="48">
      <c r="F48" s="98" t="s">
        <v>1182</v>
      </c>
      <c r="G48" s="61" t="s">
        <v>256</v>
      </c>
      <c r="H48" s="63" t="s">
        <v>83</v>
      </c>
      <c r="I48" s="61">
        <v>100.0</v>
      </c>
      <c r="J48" s="61">
        <v>90.0</v>
      </c>
      <c r="K48" s="61">
        <v>10.0</v>
      </c>
      <c r="L48" s="78" t="s">
        <v>1011</v>
      </c>
    </row>
  </sheetData>
  <mergeCells count="45">
    <mergeCell ref="A1:D2"/>
    <mergeCell ref="F1:H2"/>
    <mergeCell ref="J1:K2"/>
    <mergeCell ref="G3:H6"/>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36:O36"/>
    <mergeCell ref="L37:O37"/>
    <mergeCell ref="L38:O38"/>
    <mergeCell ref="L46:O46"/>
    <mergeCell ref="L47:O47"/>
    <mergeCell ref="L48:O48"/>
    <mergeCell ref="L39:O39"/>
    <mergeCell ref="L40:O40"/>
    <mergeCell ref="L41:O41"/>
    <mergeCell ref="L42:O42"/>
    <mergeCell ref="L43:O43"/>
    <mergeCell ref="L44:O44"/>
    <mergeCell ref="L45:O45"/>
  </mergeCells>
  <drawing r:id="rId1"/>
</worksheet>
</file>